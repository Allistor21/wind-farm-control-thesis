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fram\Documents\GitHub\wind-farm-control-thesis\"/>
    </mc:Choice>
  </mc:AlternateContent>
  <xr:revisionPtr revIDLastSave="0" documentId="13_ncr:1_{C7872000-F6B4-4066-8A57-C5717E7C796F}" xr6:coauthVersionLast="45" xr6:coauthVersionMax="45" xr10:uidLastSave="{00000000-0000-0000-0000-000000000000}"/>
  <bookViews>
    <workbookView xWindow="-108" yWindow="-108" windowWidth="26055" windowHeight="14158" firstSheet="1" activeTab="5" xr2:uid="{7A5FF4EF-FFAC-4D58-AB26-73838BBBD728}"/>
  </bookViews>
  <sheets>
    <sheet name="randomCalculations" sheetId="2" r:id="rId1"/>
    <sheet name="CpCtVsa" sheetId="1" r:id="rId2"/>
    <sheet name="getGebraad2.6" sheetId="3" r:id="rId3"/>
    <sheet name="vanderHoek" sheetId="4" r:id="rId4"/>
    <sheet name="realData" sheetId="5" r:id="rId5"/>
    <sheet name="verifyPoli" sheetId="7" r:id="rId6"/>
    <sheet name="compOptGebradd" sheetId="8" r:id="rId7"/>
    <sheet name="FAST10ATCtU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8" l="1"/>
  <c r="D7" i="8"/>
  <c r="D8" i="8"/>
  <c r="D9" i="8"/>
  <c r="D5" i="8"/>
  <c r="C6" i="8"/>
  <c r="C7" i="8"/>
  <c r="C8" i="8"/>
  <c r="C9" i="8"/>
  <c r="C5" i="8"/>
  <c r="C17" i="8" l="1"/>
  <c r="D10" i="8" s="1"/>
  <c r="B17" i="8"/>
  <c r="C10" i="8" s="1"/>
  <c r="I19" i="2" l="1"/>
  <c r="E5" i="5" l="1"/>
  <c r="E6" i="5"/>
  <c r="E7" i="5"/>
  <c r="E8" i="5"/>
  <c r="E9" i="5"/>
  <c r="E10" i="5"/>
  <c r="E11" i="5"/>
  <c r="E12" i="5"/>
  <c r="E13" i="5"/>
  <c r="E4" i="5"/>
  <c r="C5" i="5"/>
  <c r="C6" i="5" s="1"/>
  <c r="C7" i="5" s="1"/>
  <c r="C8" i="5" s="1"/>
  <c r="C9" i="5" s="1"/>
  <c r="C10" i="5" s="1"/>
  <c r="C11" i="5" s="1"/>
  <c r="C12" i="5" s="1"/>
  <c r="C13" i="5" s="1"/>
  <c r="R5" i="4" l="1"/>
  <c r="R4" i="4"/>
  <c r="Q4" i="4"/>
  <c r="R7" i="4" l="1"/>
  <c r="R8" i="4"/>
  <c r="R6" i="4"/>
  <c r="Q5" i="4"/>
  <c r="Q6" i="4"/>
  <c r="Q7" i="4"/>
  <c r="Q8" i="4"/>
  <c r="P4" i="4"/>
  <c r="P5" i="4"/>
  <c r="P6" i="4"/>
  <c r="P7" i="4"/>
  <c r="P8" i="4"/>
  <c r="O5" i="4"/>
  <c r="O6" i="4"/>
  <c r="O7" i="4"/>
  <c r="O8" i="4"/>
  <c r="O4" i="4"/>
  <c r="D15" i="4" l="1"/>
  <c r="D16" i="4"/>
  <c r="D17" i="4"/>
  <c r="D18" i="4"/>
  <c r="D14" i="4"/>
  <c r="G15" i="4"/>
  <c r="G16" i="4"/>
  <c r="G17" i="4"/>
  <c r="G18" i="4"/>
  <c r="G14" i="4"/>
  <c r="E15" i="4"/>
  <c r="E16" i="4"/>
  <c r="E17" i="4"/>
  <c r="E18" i="4"/>
  <c r="E14" i="4"/>
  <c r="F31" i="3" l="1"/>
  <c r="F32" i="3"/>
  <c r="F33" i="3"/>
  <c r="F34" i="3"/>
  <c r="F30" i="3"/>
  <c r="F13" i="3"/>
  <c r="F14" i="3"/>
  <c r="F15" i="3"/>
  <c r="F16" i="3"/>
  <c r="F12" i="3"/>
  <c r="D6" i="1" l="1"/>
  <c r="C7" i="1"/>
  <c r="C6" i="1"/>
  <c r="B7" i="1"/>
  <c r="D7" i="1" s="1"/>
  <c r="B8" i="1" l="1"/>
  <c r="C28" i="2"/>
  <c r="B28" i="2"/>
  <c r="G19" i="2"/>
  <c r="C21" i="2"/>
  <c r="B21" i="2"/>
  <c r="B9" i="1" l="1"/>
  <c r="D8" i="1"/>
  <c r="C8" i="1"/>
  <c r="E5" i="2"/>
  <c r="E6" i="2"/>
  <c r="E7" i="2"/>
  <c r="E8" i="2"/>
  <c r="E9" i="2"/>
  <c r="E10" i="2"/>
  <c r="E11" i="2"/>
  <c r="E12" i="2"/>
  <c r="E13" i="2"/>
  <c r="E14" i="2"/>
  <c r="E15" i="2"/>
  <c r="E4" i="2"/>
  <c r="B10" i="1" l="1"/>
  <c r="D9" i="1"/>
  <c r="C9" i="1"/>
  <c r="B11" i="1" l="1"/>
  <c r="C10" i="1"/>
  <c r="D10" i="1"/>
  <c r="B12" i="1" l="1"/>
  <c r="C11" i="1"/>
  <c r="D11" i="1"/>
  <c r="B13" i="1" l="1"/>
  <c r="C12" i="1"/>
  <c r="D12" i="1"/>
  <c r="B14" i="1" l="1"/>
  <c r="C13" i="1"/>
  <c r="D13" i="1"/>
  <c r="B15" i="1" l="1"/>
  <c r="C14" i="1"/>
  <c r="D14" i="1"/>
  <c r="B16" i="1" l="1"/>
  <c r="D15" i="1"/>
  <c r="C15" i="1"/>
  <c r="B17" i="1" l="1"/>
  <c r="D16" i="1"/>
  <c r="C16" i="1"/>
  <c r="B18" i="1" l="1"/>
  <c r="D17" i="1"/>
  <c r="C17" i="1"/>
  <c r="B19" i="1" l="1"/>
  <c r="C18" i="1"/>
  <c r="D18" i="1"/>
  <c r="B20" i="1" l="1"/>
  <c r="C19" i="1"/>
  <c r="D19" i="1"/>
  <c r="B21" i="1" l="1"/>
  <c r="C20" i="1"/>
  <c r="D20" i="1"/>
  <c r="B22" i="1" l="1"/>
  <c r="D21" i="1"/>
  <c r="C21" i="1"/>
  <c r="B23" i="1" l="1"/>
  <c r="D22" i="1"/>
  <c r="C22" i="1"/>
  <c r="D23" i="1" l="1"/>
  <c r="B24" i="1"/>
  <c r="C23" i="1"/>
  <c r="B25" i="1" l="1"/>
  <c r="D24" i="1"/>
  <c r="C24" i="1"/>
  <c r="B26" i="1" l="1"/>
  <c r="D25" i="1"/>
  <c r="C25" i="1"/>
  <c r="C26" i="1" l="1"/>
  <c r="D26" i="1"/>
</calcChain>
</file>

<file path=xl/sharedStrings.xml><?xml version="1.0" encoding="utf-8"?>
<sst xmlns="http://schemas.openxmlformats.org/spreadsheetml/2006/main" count="250" uniqueCount="62">
  <si>
    <t>baseline control</t>
  </si>
  <si>
    <t>constant rotor speed</t>
  </si>
  <si>
    <t>Cp</t>
  </si>
  <si>
    <t>mean</t>
  </si>
  <si>
    <t>SD</t>
  </si>
  <si>
    <t>max-min</t>
  </si>
  <si>
    <t>% difference</t>
  </si>
  <si>
    <t>Ct</t>
  </si>
  <si>
    <t>TSR</t>
  </si>
  <si>
    <t>RBM</t>
  </si>
  <si>
    <t>TI</t>
  </si>
  <si>
    <t>power SD (pitch = 0</t>
  </si>
  <si>
    <t>power SD (pitch = 5</t>
  </si>
  <si>
    <t>% increase</t>
  </si>
  <si>
    <t>U = 11 m/s</t>
  </si>
  <si>
    <t>max SD</t>
  </si>
  <si>
    <t>mean BRBM</t>
  </si>
  <si>
    <t>pitch 0, U = 11,4</t>
  </si>
  <si>
    <t>pitch 5, U = 11,4</t>
  </si>
  <si>
    <t>BRBM SD (pitch = 0</t>
  </si>
  <si>
    <t>BRBM SD (pitch = 5</t>
  </si>
  <si>
    <t>a</t>
  </si>
  <si>
    <t>pitch</t>
  </si>
  <si>
    <t>Turb 1</t>
  </si>
  <si>
    <t>Turb 2</t>
  </si>
  <si>
    <t>genPwr (MW)</t>
  </si>
  <si>
    <t>GEBRAAAAAD</t>
  </si>
  <si>
    <t>FASTnAT</t>
  </si>
  <si>
    <t>Total</t>
  </si>
  <si>
    <t>Turbine number</t>
  </si>
  <si>
    <t>WS</t>
  </si>
  <si>
    <t>VAN DER HOEK</t>
  </si>
  <si>
    <t>baseline</t>
  </si>
  <si>
    <t>active</t>
  </si>
  <si>
    <t>NORMALIZED VALUES + TURB INTS IN %</t>
  </si>
  <si>
    <t>WFC</t>
  </si>
  <si>
    <t>turbine Number</t>
  </si>
  <si>
    <t>Power (kW)</t>
  </si>
  <si>
    <t>norm Power</t>
  </si>
  <si>
    <t>Barthelmie2009 - measurements</t>
  </si>
  <si>
    <t>Barthelmie2009 - WAsP</t>
  </si>
  <si>
    <t>P</t>
  </si>
  <si>
    <t>FAST</t>
  </si>
  <si>
    <t>Load</t>
  </si>
  <si>
    <t>Poli</t>
  </si>
  <si>
    <t>pitch = 0</t>
  </si>
  <si>
    <t>TI = 8</t>
  </si>
  <si>
    <t>TI = 12</t>
  </si>
  <si>
    <t>TI = 16</t>
  </si>
  <si>
    <t>NaN</t>
  </si>
  <si>
    <t>pitch = 2.5</t>
  </si>
  <si>
    <t>pitch = 5</t>
  </si>
  <si>
    <t>minLoad</t>
  </si>
  <si>
    <t>maxPower</t>
  </si>
  <si>
    <t>SUM</t>
  </si>
  <si>
    <t>T number</t>
  </si>
  <si>
    <t>TOTAL</t>
  </si>
  <si>
    <t>base</t>
  </si>
  <si>
    <t>optimised</t>
  </si>
  <si>
    <t>Number</t>
  </si>
  <si>
    <t>U</t>
  </si>
  <si>
    <t>Gebraad: FLORIS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</si>
</sst>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1" xfId="0" applyBorder="1"/>
    <xf numFmtId="2" fontId="0" fillId="0" borderId="0" xfId="0" applyNumberFormat="1"/>
    <xf numFmtId="0" fontId="0" fillId="0" borderId="0" xfId="0" applyBorder="1"/>
    <xf numFmtId="2" fontId="0" fillId="0" borderId="0" xfId="0" applyNumberFormat="1" applyBorder="1"/>
    <xf numFmtId="0" fontId="0" fillId="0" borderId="0" xfId="0" applyBorder="1" applyAlignment="1"/>
    <xf numFmtId="0" fontId="0" fillId="0" borderId="0" xfId="0" applyAlignment="1"/>
    <xf numFmtId="0" fontId="0" fillId="0" borderId="1" xfId="0" applyBorder="1" applyAlignment="1"/>
    <xf numFmtId="0" fontId="0" fillId="0" borderId="0" xfId="0" applyNumberFormat="1"/>
    <xf numFmtId="0" fontId="0" fillId="0" borderId="2" xfId="0" applyBorder="1"/>
    <xf numFmtId="0" fontId="0" fillId="0" borderId="0" xfId="0" applyNumberForma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Cp1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CpCtVsa!$B$6:$B$16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</c:numCache>
            </c:numRef>
          </c:xVal>
          <c:yVal>
            <c:numRef>
              <c:f>CpCtVsa!$C$6:$C$16</c:f>
              <c:numCache>
                <c:formatCode>General</c:formatCode>
                <c:ptCount val="11"/>
                <c:pt idx="0">
                  <c:v>0</c:v>
                </c:pt>
                <c:pt idx="1">
                  <c:v>0.18049999999999999</c:v>
                </c:pt>
                <c:pt idx="2">
                  <c:v>0.32400000000000007</c:v>
                </c:pt>
                <c:pt idx="3">
                  <c:v>0.4335</c:v>
                </c:pt>
                <c:pt idx="4">
                  <c:v>0.51200000000000012</c:v>
                </c:pt>
                <c:pt idx="5">
                  <c:v>0.5625</c:v>
                </c:pt>
                <c:pt idx="6">
                  <c:v>0.58799999999999986</c:v>
                </c:pt>
                <c:pt idx="7">
                  <c:v>0.59150000000000003</c:v>
                </c:pt>
                <c:pt idx="8">
                  <c:v>0.57600000000000007</c:v>
                </c:pt>
                <c:pt idx="9">
                  <c:v>0.54449999999999998</c:v>
                </c:pt>
                <c:pt idx="10">
                  <c:v>0.49999999999999994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D9-4D13-B661-775069CB65E8}"/>
            </c:ext>
          </c:extLst>
        </c:ser>
        <c:ser>
          <c:idx val="1"/>
          <c:order val="1"/>
          <c:tx>
            <c:v>Cp2</c:v>
          </c:tx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CpCtVsa!$B$16:$B$26</c:f>
              <c:numCache>
                <c:formatCode>General</c:formatCode>
                <c:ptCount val="11"/>
                <c:pt idx="0">
                  <c:v>0.49999999999999994</c:v>
                </c:pt>
                <c:pt idx="1">
                  <c:v>0.54999999999999993</c:v>
                </c:pt>
                <c:pt idx="2">
                  <c:v>0.6</c:v>
                </c:pt>
                <c:pt idx="3">
                  <c:v>0.65</c:v>
                </c:pt>
                <c:pt idx="4">
                  <c:v>0.70000000000000007</c:v>
                </c:pt>
                <c:pt idx="5">
                  <c:v>0.75000000000000011</c:v>
                </c:pt>
                <c:pt idx="6">
                  <c:v>0.80000000000000016</c:v>
                </c:pt>
                <c:pt idx="7">
                  <c:v>0.8500000000000002</c:v>
                </c:pt>
                <c:pt idx="8">
                  <c:v>0.90000000000000024</c:v>
                </c:pt>
                <c:pt idx="9">
                  <c:v>0.95000000000000029</c:v>
                </c:pt>
                <c:pt idx="10">
                  <c:v>1.0000000000000002</c:v>
                </c:pt>
              </c:numCache>
            </c:numRef>
          </c:xVal>
          <c:yVal>
            <c:numRef>
              <c:f>CpCtVsa!$C$16:$C$26</c:f>
              <c:numCache>
                <c:formatCode>General</c:formatCode>
                <c:ptCount val="11"/>
                <c:pt idx="0">
                  <c:v>0.49999999999999994</c:v>
                </c:pt>
                <c:pt idx="1">
                  <c:v>0.44550000000000012</c:v>
                </c:pt>
                <c:pt idx="2">
                  <c:v>0.38400000000000006</c:v>
                </c:pt>
                <c:pt idx="3">
                  <c:v>0.31849999999999995</c:v>
                </c:pt>
                <c:pt idx="4">
                  <c:v>0.25199999999999989</c:v>
                </c:pt>
                <c:pt idx="5">
                  <c:v>0.18749999999999986</c:v>
                </c:pt>
                <c:pt idx="6">
                  <c:v>0.12799999999999984</c:v>
                </c:pt>
                <c:pt idx="7">
                  <c:v>7.6499999999999818E-2</c:v>
                </c:pt>
                <c:pt idx="8">
                  <c:v>3.5999999999999838E-2</c:v>
                </c:pt>
                <c:pt idx="9">
                  <c:v>9.4999999999998922E-3</c:v>
                </c:pt>
                <c:pt idx="10">
                  <c:v>1.97215226305253E-31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D9-4D13-B661-775069CB65E8}"/>
            </c:ext>
          </c:extLst>
        </c:ser>
        <c:ser>
          <c:idx val="2"/>
          <c:order val="2"/>
          <c:tx>
            <c:v>Ct1</c:v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CpCtVsa!$B$6:$B$16</c:f>
              <c:numCache>
                <c:formatCode>General</c:formatCode>
                <c:ptCount val="1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</c:numCache>
            </c:numRef>
          </c:xVal>
          <c:yVal>
            <c:numRef>
              <c:f>CpCtVsa!$D$6:$D$16</c:f>
              <c:numCache>
                <c:formatCode>General</c:formatCode>
                <c:ptCount val="11"/>
                <c:pt idx="0">
                  <c:v>0</c:v>
                </c:pt>
                <c:pt idx="1">
                  <c:v>0.19</c:v>
                </c:pt>
                <c:pt idx="2">
                  <c:v>0.36000000000000004</c:v>
                </c:pt>
                <c:pt idx="3">
                  <c:v>0.51</c:v>
                </c:pt>
                <c:pt idx="4">
                  <c:v>0.64000000000000012</c:v>
                </c:pt>
                <c:pt idx="5">
                  <c:v>0.75</c:v>
                </c:pt>
                <c:pt idx="6">
                  <c:v>0.84</c:v>
                </c:pt>
                <c:pt idx="7">
                  <c:v>0.90999999999999992</c:v>
                </c:pt>
                <c:pt idx="8">
                  <c:v>0.96000000000000008</c:v>
                </c:pt>
                <c:pt idx="9">
                  <c:v>0.99</c:v>
                </c:pt>
                <c:pt idx="10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D9-4D13-B661-775069CB65E8}"/>
            </c:ext>
          </c:extLst>
        </c:ser>
        <c:ser>
          <c:idx val="3"/>
          <c:order val="3"/>
          <c:tx>
            <c:v>Ct2</c:v>
          </c:tx>
          <c:spPr>
            <a:ln w="222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CpCtVsa!$B$16:$B$26</c:f>
              <c:numCache>
                <c:formatCode>General</c:formatCode>
                <c:ptCount val="11"/>
                <c:pt idx="0">
                  <c:v>0.49999999999999994</c:v>
                </c:pt>
                <c:pt idx="1">
                  <c:v>0.54999999999999993</c:v>
                </c:pt>
                <c:pt idx="2">
                  <c:v>0.6</c:v>
                </c:pt>
                <c:pt idx="3">
                  <c:v>0.65</c:v>
                </c:pt>
                <c:pt idx="4">
                  <c:v>0.70000000000000007</c:v>
                </c:pt>
                <c:pt idx="5">
                  <c:v>0.75000000000000011</c:v>
                </c:pt>
                <c:pt idx="6">
                  <c:v>0.80000000000000016</c:v>
                </c:pt>
                <c:pt idx="7">
                  <c:v>0.8500000000000002</c:v>
                </c:pt>
                <c:pt idx="8">
                  <c:v>0.90000000000000024</c:v>
                </c:pt>
                <c:pt idx="9">
                  <c:v>0.95000000000000029</c:v>
                </c:pt>
                <c:pt idx="10">
                  <c:v>1.0000000000000002</c:v>
                </c:pt>
              </c:numCache>
            </c:numRef>
          </c:xVal>
          <c:yVal>
            <c:numRef>
              <c:f>CpCtVsa!$D$16:$D$26</c:f>
              <c:numCache>
                <c:formatCode>General</c:formatCode>
                <c:ptCount val="11"/>
                <c:pt idx="0">
                  <c:v>0.99999999999999989</c:v>
                </c:pt>
                <c:pt idx="1">
                  <c:v>0.99</c:v>
                </c:pt>
                <c:pt idx="2">
                  <c:v>0.96</c:v>
                </c:pt>
                <c:pt idx="3">
                  <c:v>0.90999999999999992</c:v>
                </c:pt>
                <c:pt idx="4">
                  <c:v>0.83999999999999986</c:v>
                </c:pt>
                <c:pt idx="5">
                  <c:v>0.74999999999999978</c:v>
                </c:pt>
                <c:pt idx="6">
                  <c:v>0.63999999999999968</c:v>
                </c:pt>
                <c:pt idx="7">
                  <c:v>0.50999999999999945</c:v>
                </c:pt>
                <c:pt idx="8">
                  <c:v>0.35999999999999921</c:v>
                </c:pt>
                <c:pt idx="9">
                  <c:v>0.18999999999999895</c:v>
                </c:pt>
                <c:pt idx="10">
                  <c:v>-8.8817841970012543E-16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CD9-4D13-B661-775069CB6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985200"/>
        <c:axId val="510986160"/>
      </c:scatterChart>
      <c:valAx>
        <c:axId val="510985200"/>
        <c:scaling>
          <c:orientation val="minMax"/>
          <c:max val="1.0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800" i="1"/>
                  <a:t>a</a:t>
                </a:r>
                <a:endParaRPr lang="en-GB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86160"/>
        <c:crosses val="autoZero"/>
        <c:crossBetween val="midCat"/>
      </c:valAx>
      <c:valAx>
        <c:axId val="510986160"/>
        <c:scaling>
          <c:orientation val="minMax"/>
          <c:max val="1.02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98520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587206366935857"/>
          <c:y val="3.5795251072238771E-2"/>
          <c:w val="0.81794841592898326"/>
          <c:h val="0.61305430144162132"/>
        </c:manualLayout>
      </c:layout>
      <c:scatterChart>
        <c:scatterStyle val="smoothMarker"/>
        <c:varyColors val="0"/>
        <c:ser>
          <c:idx val="0"/>
          <c:order val="0"/>
          <c:tx>
            <c:v>Turbine 1 - Literature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getGebraad2.6!$B$5:$B$9</c:f>
              <c:numCache>
                <c:formatCode>General</c:formatCode>
                <c:ptCount val="5"/>
                <c:pt idx="0">
                  <c:v>-2.3E-2</c:v>
                </c:pt>
                <c:pt idx="1">
                  <c:v>0.99099999999999999</c:v>
                </c:pt>
                <c:pt idx="2">
                  <c:v>2.0270000000000001</c:v>
                </c:pt>
                <c:pt idx="3">
                  <c:v>4.077</c:v>
                </c:pt>
                <c:pt idx="4">
                  <c:v>6.0359999999999996</c:v>
                </c:pt>
              </c:numCache>
            </c:numRef>
          </c:xVal>
          <c:yVal>
            <c:numRef>
              <c:f>getGebraad2.6!$C$5:$C$9</c:f>
              <c:numCache>
                <c:formatCode>General</c:formatCode>
                <c:ptCount val="5"/>
                <c:pt idx="0">
                  <c:v>8.5220000000000002</c:v>
                </c:pt>
                <c:pt idx="1">
                  <c:v>8.43</c:v>
                </c:pt>
                <c:pt idx="2">
                  <c:v>8.2710000000000008</c:v>
                </c:pt>
                <c:pt idx="3">
                  <c:v>7.8150000000000004</c:v>
                </c:pt>
                <c:pt idx="4">
                  <c:v>7.3140000000000001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4E-4232-A2AA-5E623D6CF4FE}"/>
            </c:ext>
          </c:extLst>
        </c:ser>
        <c:ser>
          <c:idx val="2"/>
          <c:order val="1"/>
          <c:tx>
            <c:v>Turbine 1 - FASTnAT</c:v>
          </c:tx>
          <c:spPr>
            <a:ln w="3810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getGebraad2.6!$B$23:$B$27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getGebraad2.6!$C$23:$C$27</c:f>
              <c:numCache>
                <c:formatCode>General</c:formatCode>
                <c:ptCount val="5"/>
                <c:pt idx="0">
                  <c:v>7.6925703267444696</c:v>
                </c:pt>
                <c:pt idx="1">
                  <c:v>7.6931287332950404</c:v>
                </c:pt>
                <c:pt idx="2">
                  <c:v>7.6935400844400297</c:v>
                </c:pt>
                <c:pt idx="3">
                  <c:v>7.6937982802861802</c:v>
                </c:pt>
                <c:pt idx="4">
                  <c:v>7.6938101622498003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4E-4232-A2AA-5E623D6CF4FE}"/>
            </c:ext>
          </c:extLst>
        </c:ser>
        <c:ser>
          <c:idx val="1"/>
          <c:order val="2"/>
          <c:tx>
            <c:v>Turbine 2 - Literature</c:v>
          </c:tx>
          <c:spPr>
            <a:ln w="381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getGebraad2.6!$D$5:$D$9</c:f>
              <c:numCache>
                <c:formatCode>General</c:formatCode>
                <c:ptCount val="5"/>
                <c:pt idx="0">
                  <c:v>2.3E-2</c:v>
                </c:pt>
                <c:pt idx="1">
                  <c:v>1.036</c:v>
                </c:pt>
                <c:pt idx="2">
                  <c:v>2.0270000000000001</c:v>
                </c:pt>
                <c:pt idx="3">
                  <c:v>4.0540000000000003</c:v>
                </c:pt>
                <c:pt idx="4">
                  <c:v>6.0590000000000002</c:v>
                </c:pt>
              </c:numCache>
            </c:numRef>
          </c:xVal>
          <c:yVal>
            <c:numRef>
              <c:f>getGebraad2.6!$E$5:$E$9</c:f>
              <c:numCache>
                <c:formatCode>General</c:formatCode>
                <c:ptCount val="5"/>
                <c:pt idx="0">
                  <c:v>6.9870000000000001</c:v>
                </c:pt>
                <c:pt idx="1">
                  <c:v>7.0179999999999998</c:v>
                </c:pt>
                <c:pt idx="2">
                  <c:v>7.0780000000000003</c:v>
                </c:pt>
                <c:pt idx="3">
                  <c:v>7.2</c:v>
                </c:pt>
                <c:pt idx="4">
                  <c:v>7.359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4E-4232-A2AA-5E623D6CF4FE}"/>
            </c:ext>
          </c:extLst>
        </c:ser>
        <c:ser>
          <c:idx val="3"/>
          <c:order val="3"/>
          <c:tx>
            <c:v>Turbine 2 - FASTnAT</c:v>
          </c:tx>
          <c:spPr>
            <a:ln w="34925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getGebraad2.6!$D$23:$D$27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getGebraad2.6!$E$23:$E$27</c:f>
              <c:numCache>
                <c:formatCode>General</c:formatCode>
                <c:ptCount val="5"/>
                <c:pt idx="0">
                  <c:v>8.5062845798801501</c:v>
                </c:pt>
                <c:pt idx="1">
                  <c:v>8.3960506045132597</c:v>
                </c:pt>
                <c:pt idx="2">
                  <c:v>8.2945061122059105</c:v>
                </c:pt>
                <c:pt idx="3">
                  <c:v>8.2025484157053192</c:v>
                </c:pt>
                <c:pt idx="4">
                  <c:v>8.1116668207164295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4E-4232-A2AA-5E623D6CF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40568"/>
        <c:axId val="556643128"/>
      </c:scatterChart>
      <c:valAx>
        <c:axId val="556640568"/>
        <c:scaling>
          <c:orientation val="minMax"/>
          <c:max val="4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Pitch</a:t>
                </a:r>
                <a:r>
                  <a:rPr lang="en-GB" sz="1600" baseline="0"/>
                  <a:t> offset [deg]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43128"/>
        <c:crosses val="autoZero"/>
        <c:crossBetween val="midCat"/>
        <c:majorUnit val="1"/>
      </c:valAx>
      <c:valAx>
        <c:axId val="556643128"/>
        <c:scaling>
          <c:orientation val="minMax"/>
          <c:max val="9.5"/>
          <c:min val="6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TSR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4056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554345279286843E-2"/>
          <c:y val="0.78487218762795707"/>
          <c:w val="0.96381149841162606"/>
          <c:h val="0.200792418704115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963938728431022"/>
          <c:y val="3.5795161959565003E-2"/>
          <c:w val="0.75204137578766239"/>
          <c:h val="0.62096019247764966"/>
        </c:manualLayout>
      </c:layout>
      <c:scatterChart>
        <c:scatterStyle val="smoothMarker"/>
        <c:varyColors val="0"/>
        <c:ser>
          <c:idx val="0"/>
          <c:order val="0"/>
          <c:tx>
            <c:v>Turbine 1 - Literature</c:v>
          </c:tx>
          <c:spPr>
            <a:ln w="254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getGebraad2.6!$B$12:$B$16</c:f>
              <c:numCache>
                <c:formatCode>General</c:formatCode>
                <c:ptCount val="5"/>
                <c:pt idx="0">
                  <c:v>-6.8000000000000005E-2</c:v>
                </c:pt>
                <c:pt idx="1">
                  <c:v>0.99099999999999999</c:v>
                </c:pt>
                <c:pt idx="2">
                  <c:v>1.982</c:v>
                </c:pt>
                <c:pt idx="3">
                  <c:v>4.0090000000000003</c:v>
                </c:pt>
                <c:pt idx="4">
                  <c:v>6.0140000000000002</c:v>
                </c:pt>
              </c:numCache>
            </c:numRef>
          </c:xVal>
          <c:yVal>
            <c:numRef>
              <c:f>getGebraad2.6!$C$12:$C$16</c:f>
              <c:numCache>
                <c:formatCode>General</c:formatCode>
                <c:ptCount val="5"/>
                <c:pt idx="0">
                  <c:v>1.7769999999999999</c:v>
                </c:pt>
                <c:pt idx="1">
                  <c:v>1.724</c:v>
                </c:pt>
                <c:pt idx="2">
                  <c:v>1.625</c:v>
                </c:pt>
                <c:pt idx="3">
                  <c:v>1.359</c:v>
                </c:pt>
                <c:pt idx="4">
                  <c:v>1.0629999999999999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E5-4FA0-BFB0-ED6E8444DDB9}"/>
            </c:ext>
          </c:extLst>
        </c:ser>
        <c:ser>
          <c:idx val="2"/>
          <c:order val="1"/>
          <c:tx>
            <c:v>Turbine 1 - FASTnAT</c:v>
          </c:tx>
          <c:spPr>
            <a:ln w="2540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getGebraad2.6!$B$30:$B$34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getGebraad2.6!$C$30:$C$34</c:f>
              <c:numCache>
                <c:formatCode>General</c:formatCode>
                <c:ptCount val="5"/>
                <c:pt idx="0">
                  <c:v>1.8592387525602401</c:v>
                </c:pt>
                <c:pt idx="1">
                  <c:v>1.8276149742604699</c:v>
                </c:pt>
                <c:pt idx="2">
                  <c:v>1.7629154197922501</c:v>
                </c:pt>
                <c:pt idx="3">
                  <c:v>1.6747286105939401</c:v>
                </c:pt>
                <c:pt idx="4">
                  <c:v>1.5411542749701801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6E5-4FA0-BFB0-ED6E8444DDB9}"/>
            </c:ext>
          </c:extLst>
        </c:ser>
        <c:ser>
          <c:idx val="4"/>
          <c:order val="2"/>
          <c:tx>
            <c:v>Total - Literature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getGebraad2.6!$D$12:$D$16</c:f>
              <c:numCache>
                <c:formatCode>General</c:formatCode>
                <c:ptCount val="5"/>
                <c:pt idx="0">
                  <c:v>-2.3E-2</c:v>
                </c:pt>
                <c:pt idx="1">
                  <c:v>0.99099999999999999</c:v>
                </c:pt>
                <c:pt idx="2">
                  <c:v>1.982</c:v>
                </c:pt>
                <c:pt idx="3">
                  <c:v>4.0090000000000003</c:v>
                </c:pt>
                <c:pt idx="4">
                  <c:v>6.0140000000000002</c:v>
                </c:pt>
              </c:numCache>
            </c:numRef>
          </c:xVal>
          <c:yVal>
            <c:numRef>
              <c:f>getGebraad2.6!$F$12:$F$16</c:f>
              <c:numCache>
                <c:formatCode>General</c:formatCode>
                <c:ptCount val="5"/>
                <c:pt idx="0">
                  <c:v>2.605</c:v>
                </c:pt>
                <c:pt idx="1">
                  <c:v>2.5670000000000002</c:v>
                </c:pt>
                <c:pt idx="2">
                  <c:v>2.5140000000000002</c:v>
                </c:pt>
                <c:pt idx="3">
                  <c:v>2.339</c:v>
                </c:pt>
                <c:pt idx="4">
                  <c:v>2.1639999999999997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0D-497D-8A0B-3DD9FE94C0F7}"/>
            </c:ext>
          </c:extLst>
        </c:ser>
        <c:ser>
          <c:idx val="1"/>
          <c:order val="3"/>
          <c:tx>
            <c:v>Turbine 2 - Literature</c:v>
          </c:tx>
          <c:spPr>
            <a:ln w="381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getGebraad2.6!$D$12:$D$16</c:f>
              <c:numCache>
                <c:formatCode>General</c:formatCode>
                <c:ptCount val="5"/>
                <c:pt idx="0">
                  <c:v>-2.3E-2</c:v>
                </c:pt>
                <c:pt idx="1">
                  <c:v>0.99099999999999999</c:v>
                </c:pt>
                <c:pt idx="2">
                  <c:v>1.982</c:v>
                </c:pt>
                <c:pt idx="3">
                  <c:v>4.0090000000000003</c:v>
                </c:pt>
                <c:pt idx="4">
                  <c:v>6.0140000000000002</c:v>
                </c:pt>
              </c:numCache>
            </c:numRef>
          </c:xVal>
          <c:yVal>
            <c:numRef>
              <c:f>getGebraad2.6!$E$12:$E$16</c:f>
              <c:numCache>
                <c:formatCode>General</c:formatCode>
                <c:ptCount val="5"/>
                <c:pt idx="0">
                  <c:v>0.82799999999999996</c:v>
                </c:pt>
                <c:pt idx="1">
                  <c:v>0.84299999999999997</c:v>
                </c:pt>
                <c:pt idx="2">
                  <c:v>0.88900000000000001</c:v>
                </c:pt>
                <c:pt idx="3">
                  <c:v>0.98</c:v>
                </c:pt>
                <c:pt idx="4">
                  <c:v>1.101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E5-4FA0-BFB0-ED6E8444DDB9}"/>
            </c:ext>
          </c:extLst>
        </c:ser>
        <c:ser>
          <c:idx val="3"/>
          <c:order val="4"/>
          <c:tx>
            <c:v>Turbine 2 - FASTnAT</c:v>
          </c:tx>
          <c:spPr>
            <a:ln w="381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getGebraad2.6!$D$30:$D$34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getGebraad2.6!$E$30:$E$34</c:f>
              <c:numCache>
                <c:formatCode>General</c:formatCode>
                <c:ptCount val="5"/>
                <c:pt idx="0">
                  <c:v>1.1133401227839399</c:v>
                </c:pt>
                <c:pt idx="1">
                  <c:v>1.1805108004679401</c:v>
                </c:pt>
                <c:pt idx="2">
                  <c:v>1.2466825411347799</c:v>
                </c:pt>
                <c:pt idx="3">
                  <c:v>1.31000064675751</c:v>
                </c:pt>
                <c:pt idx="4">
                  <c:v>1.37795196043098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6E5-4FA0-BFB0-ED6E8444DDB9}"/>
            </c:ext>
          </c:extLst>
        </c:ser>
        <c:ser>
          <c:idx val="5"/>
          <c:order val="5"/>
          <c:tx>
            <c:v>Total - FASTnAT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getGebraad2.6!$D$30:$D$34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getGebraad2.6!$F$30:$F$34</c:f>
              <c:numCache>
                <c:formatCode>General</c:formatCode>
                <c:ptCount val="5"/>
                <c:pt idx="0">
                  <c:v>2.9725788753441797</c:v>
                </c:pt>
                <c:pt idx="1">
                  <c:v>3.00812577472841</c:v>
                </c:pt>
                <c:pt idx="2">
                  <c:v>3.0095979609270298</c:v>
                </c:pt>
                <c:pt idx="3">
                  <c:v>2.9847292573514501</c:v>
                </c:pt>
                <c:pt idx="4">
                  <c:v>2.9191062354011601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0D-497D-8A0B-3DD9FE94C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640568"/>
        <c:axId val="556643128"/>
      </c:scatterChart>
      <c:valAx>
        <c:axId val="556640568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Pitch</a:t>
                </a:r>
                <a:r>
                  <a:rPr lang="en-GB" sz="1600" baseline="0"/>
                  <a:t> offset turbine 1 [deg]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43128"/>
        <c:crosses val="autoZero"/>
        <c:crossBetween val="midCat"/>
        <c:majorUnit val="1"/>
      </c:valAx>
      <c:valAx>
        <c:axId val="556643128"/>
        <c:scaling>
          <c:orientation val="minMax"/>
          <c:max val="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Turbine</a:t>
                </a:r>
                <a:r>
                  <a:rPr lang="en-GB" sz="1600" baseline="0"/>
                  <a:t> power [MW]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64056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421963684005679E-3"/>
          <c:y val="0.79023952535830244"/>
          <c:w val="0.99255903260169043"/>
          <c:h val="0.20976033922496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Literature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vanderHoek!$B$14:$B$18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vanderHoek!$C$14:$C$18</c:f>
              <c:numCache>
                <c:formatCode>General</c:formatCode>
                <c:ptCount val="5"/>
                <c:pt idx="0">
                  <c:v>0.61399999999999999</c:v>
                </c:pt>
                <c:pt idx="1">
                  <c:v>0.44</c:v>
                </c:pt>
                <c:pt idx="2">
                  <c:v>0.49199999999999999</c:v>
                </c:pt>
                <c:pt idx="3">
                  <c:v>0.48299999999999998</c:v>
                </c:pt>
                <c:pt idx="4">
                  <c:v>0.48199999999999998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2-4D43-8E4E-802D195F1FD1}"/>
            </c:ext>
          </c:extLst>
        </c:ser>
        <c:ser>
          <c:idx val="1"/>
          <c:order val="1"/>
          <c:tx>
            <c:v>FASTnAT - baseline</c:v>
          </c:tx>
          <c:spPr>
            <a:ln w="3810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vanderHoek!$B$14:$B$18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vanderHoek!$E$14:$E$18</c:f>
              <c:numCache>
                <c:formatCode>General</c:formatCode>
                <c:ptCount val="5"/>
                <c:pt idx="0">
                  <c:v>0.62</c:v>
                </c:pt>
                <c:pt idx="1">
                  <c:v>0.37651873864889912</c:v>
                </c:pt>
                <c:pt idx="2">
                  <c:v>0.2556408924141465</c:v>
                </c:pt>
                <c:pt idx="3">
                  <c:v>0.36845402893568419</c:v>
                </c:pt>
                <c:pt idx="4">
                  <c:v>0.28605865635399297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2-4D43-8E4E-802D195F1FD1}"/>
            </c:ext>
          </c:extLst>
        </c:ser>
        <c:ser>
          <c:idx val="2"/>
          <c:order val="2"/>
          <c:tx>
            <c:v>FASTnAT - WFC</c:v>
          </c:tx>
          <c:spPr>
            <a:ln w="38100" cap="rnd">
              <a:solidFill>
                <a:srgbClr val="0070C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vanderHoek!$B$14:$B$18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vanderHoek!$G$14:$G$18</c:f>
              <c:numCache>
                <c:formatCode>General</c:formatCode>
                <c:ptCount val="5"/>
                <c:pt idx="0">
                  <c:v>0.62</c:v>
                </c:pt>
                <c:pt idx="1">
                  <c:v>0.45462240025932982</c:v>
                </c:pt>
                <c:pt idx="2">
                  <c:v>0.31465770742562982</c:v>
                </c:pt>
                <c:pt idx="3">
                  <c:v>0.21677419354838684</c:v>
                </c:pt>
                <c:pt idx="4">
                  <c:v>0.22396076032992981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2-4D43-8E4E-802D195F1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240696"/>
        <c:axId val="363242296"/>
      </c:scatterChart>
      <c:valAx>
        <c:axId val="363240696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Turbine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42296"/>
        <c:crosses val="autoZero"/>
        <c:crossBetween val="midCat"/>
        <c:majorUnit val="1"/>
      </c:valAx>
      <c:valAx>
        <c:axId val="36324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Normalised wind 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40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Literature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vanderHoek!$B$14:$B$18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vanderHoek!$D$14:$D$18</c:f>
              <c:numCache>
                <c:formatCode>General</c:formatCode>
                <c:ptCount val="5"/>
                <c:pt idx="0">
                  <c:v>9</c:v>
                </c:pt>
                <c:pt idx="1">
                  <c:v>21.8</c:v>
                </c:pt>
                <c:pt idx="2">
                  <c:v>24.4</c:v>
                </c:pt>
                <c:pt idx="3">
                  <c:v>26.1</c:v>
                </c:pt>
                <c:pt idx="4">
                  <c:v>26.700000000000003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14-44A7-8987-ED52FC6C790C}"/>
            </c:ext>
          </c:extLst>
        </c:ser>
        <c:ser>
          <c:idx val="1"/>
          <c:order val="1"/>
          <c:tx>
            <c:v>FASTnAT - baseline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vanderHoek!$B$14:$B$18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vanderHoek!$F$14:$F$18</c:f>
              <c:numCache>
                <c:formatCode>General</c:formatCode>
                <c:ptCount val="5"/>
                <c:pt idx="0">
                  <c:v>9</c:v>
                </c:pt>
                <c:pt idx="1">
                  <c:v>19.804013368787601</c:v>
                </c:pt>
                <c:pt idx="2">
                  <c:v>32.205624786774202</c:v>
                </c:pt>
                <c:pt idx="3">
                  <c:v>37.7311039902416</c:v>
                </c:pt>
                <c:pt idx="4">
                  <c:v>42.1474128923264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14-44A7-8987-ED52FC6C790C}"/>
            </c:ext>
          </c:extLst>
        </c:ser>
        <c:ser>
          <c:idx val="2"/>
          <c:order val="2"/>
          <c:tx>
            <c:v>FASTnAT - WFC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vanderHoek!$B$14:$B$18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vanderHoek!$H$14:$H$18</c:f>
              <c:numCache>
                <c:formatCode>General</c:formatCode>
                <c:ptCount val="5"/>
                <c:pt idx="0">
                  <c:v>9</c:v>
                </c:pt>
                <c:pt idx="1">
                  <c:v>15.6343160661142</c:v>
                </c:pt>
                <c:pt idx="2">
                  <c:v>26.790010741696101</c:v>
                </c:pt>
                <c:pt idx="3">
                  <c:v>38.488303405152699</c:v>
                </c:pt>
                <c:pt idx="4">
                  <c:v>44.449031533931198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14-44A7-8987-ED52FC6C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240696"/>
        <c:axId val="363242296"/>
      </c:scatterChart>
      <c:valAx>
        <c:axId val="363240696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Turbine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42296"/>
        <c:crosses val="autoZero"/>
        <c:crossBetween val="midCat"/>
        <c:majorUnit val="1"/>
      </c:valAx>
      <c:valAx>
        <c:axId val="36324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Turbulence intensity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240696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57229311421999"/>
          <c:y val="3.1015887932361885E-2"/>
          <c:w val="0.86672413034671703"/>
          <c:h val="0.83487552427580436"/>
        </c:manualLayout>
      </c:layout>
      <c:barChart>
        <c:barDir val="col"/>
        <c:grouping val="clustered"/>
        <c:varyColors val="0"/>
        <c:ser>
          <c:idx val="0"/>
          <c:order val="0"/>
          <c:tx>
            <c:v>Baseline - literature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vanderHoek!$O$4:$O$8</c:f>
              <c:numCache>
                <c:formatCode>General</c:formatCode>
                <c:ptCount val="5"/>
                <c:pt idx="0">
                  <c:v>1</c:v>
                </c:pt>
                <c:pt idx="1">
                  <c:v>0.34615384615384615</c:v>
                </c:pt>
                <c:pt idx="2">
                  <c:v>0.49547511312217196</c:v>
                </c:pt>
                <c:pt idx="3">
                  <c:v>0.47058823529411764</c:v>
                </c:pt>
                <c:pt idx="4">
                  <c:v>0.46380090497737553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F-4260-86E6-F094050A5888}"/>
            </c:ext>
          </c:extLst>
        </c:ser>
        <c:ser>
          <c:idx val="1"/>
          <c:order val="1"/>
          <c:tx>
            <c:v>WFC - Literature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vanderHoek!$P$4:$P$8</c:f>
              <c:numCache>
                <c:formatCode>General</c:formatCode>
                <c:ptCount val="5"/>
                <c:pt idx="0">
                  <c:v>0.86425339366515841</c:v>
                </c:pt>
                <c:pt idx="1">
                  <c:v>0.49095022624434387</c:v>
                </c:pt>
                <c:pt idx="2">
                  <c:v>0.55882352941176472</c:v>
                </c:pt>
                <c:pt idx="3">
                  <c:v>0.54072398190045246</c:v>
                </c:pt>
                <c:pt idx="4">
                  <c:v>0.51809954751131226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6F-4260-86E6-F094050A5888}"/>
            </c:ext>
          </c:extLst>
        </c:ser>
        <c:ser>
          <c:idx val="2"/>
          <c:order val="2"/>
          <c:tx>
            <c:v>Baseline - FASTnAT</c:v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val>
            <c:numRef>
              <c:f>vanderHoek!$Q$4:$Q$8</c:f>
              <c:numCache>
                <c:formatCode>General</c:formatCode>
                <c:ptCount val="5"/>
                <c:pt idx="0">
                  <c:v>1</c:v>
                </c:pt>
                <c:pt idx="1">
                  <c:v>0.18545260069751313</c:v>
                </c:pt>
                <c:pt idx="2">
                  <c:v>0</c:v>
                </c:pt>
                <c:pt idx="3">
                  <c:v>5.6084597093711677E-2</c:v>
                </c:pt>
                <c:pt idx="4">
                  <c:v>0.17041746229945129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6F-4260-86E6-F094050A5888}"/>
            </c:ext>
          </c:extLst>
        </c:ser>
        <c:ser>
          <c:idx val="3"/>
          <c:order val="3"/>
          <c:tx>
            <c:v>WFC - FASTnAT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val>
            <c:numRef>
              <c:f>vanderHoek!$R$4:$R$8</c:f>
              <c:numCache>
                <c:formatCode>General</c:formatCode>
                <c:ptCount val="5"/>
                <c:pt idx="0">
                  <c:v>0.90419219883844737</c:v>
                </c:pt>
                <c:pt idx="1">
                  <c:v>0.36676583616780384</c:v>
                </c:pt>
                <c:pt idx="2">
                  <c:v>8.4170802249417351E-2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6F-4260-86E6-F094050A5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4044472"/>
        <c:axId val="634045432"/>
      </c:barChart>
      <c:catAx>
        <c:axId val="634044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Turbine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45432"/>
        <c:crosses val="autoZero"/>
        <c:auto val="1"/>
        <c:lblAlgn val="ctr"/>
        <c:lblOffset val="100"/>
        <c:noMultiLvlLbl val="0"/>
      </c:catAx>
      <c:valAx>
        <c:axId val="634045432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Normalised 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04447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209445625951118"/>
          <c:y val="2.6573584685214542E-2"/>
          <c:w val="0.27330003199987118"/>
          <c:h val="0.3102753550074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60390618041002"/>
          <c:y val="4.2199813803787463E-2"/>
          <c:w val="0.83039957243920615"/>
          <c:h val="0.65345732969174042"/>
        </c:manualLayout>
      </c:layout>
      <c:scatterChart>
        <c:scatterStyle val="lineMarker"/>
        <c:varyColors val="0"/>
        <c:ser>
          <c:idx val="0"/>
          <c:order val="0"/>
          <c:tx>
            <c:v>Literature - measurements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4450" cap="sq">
                <a:solidFill>
                  <a:srgbClr val="FF0000"/>
                </a:solidFill>
              </a:ln>
              <a:effectLst/>
            </c:spPr>
          </c:marker>
          <c:xVal>
            <c:numRef>
              <c:f>realData!$C$4:$C$13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realData!$F$4:$F$13</c:f>
              <c:numCache>
                <c:formatCode>General</c:formatCode>
                <c:ptCount val="10"/>
                <c:pt idx="0">
                  <c:v>1</c:v>
                </c:pt>
                <c:pt idx="1">
                  <c:v>0.64</c:v>
                </c:pt>
                <c:pt idx="2">
                  <c:v>0.63400000000000001</c:v>
                </c:pt>
                <c:pt idx="3">
                  <c:v>0.60499999999999998</c:v>
                </c:pt>
                <c:pt idx="4">
                  <c:v>0.59299999999999997</c:v>
                </c:pt>
                <c:pt idx="5">
                  <c:v>0.58499999999999996</c:v>
                </c:pt>
                <c:pt idx="6">
                  <c:v>0.58099999999999996</c:v>
                </c:pt>
                <c:pt idx="7">
                  <c:v>0.59299999999999997</c:v>
                </c:pt>
                <c:pt idx="8">
                  <c:v>0.57899999999999996</c:v>
                </c:pt>
                <c:pt idx="9">
                  <c:v>0.57499999999999996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7-485E-88CE-0AE2EACA3B47}"/>
            </c:ext>
          </c:extLst>
        </c:ser>
        <c:ser>
          <c:idx val="2"/>
          <c:order val="1"/>
          <c:tx>
            <c:v>Literature - WAsP</c:v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4450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realData!$C$4:$C$13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realData!$G$4:$G$13</c:f>
              <c:numCache>
                <c:formatCode>General</c:formatCode>
                <c:ptCount val="10"/>
                <c:pt idx="0">
                  <c:v>1</c:v>
                </c:pt>
                <c:pt idx="1">
                  <c:v>0.7</c:v>
                </c:pt>
                <c:pt idx="2">
                  <c:v>0.60299999999999998</c:v>
                </c:pt>
                <c:pt idx="3">
                  <c:v>0.55600000000000005</c:v>
                </c:pt>
                <c:pt idx="4">
                  <c:v>0.53</c:v>
                </c:pt>
                <c:pt idx="5">
                  <c:v>0.52200000000000002</c:v>
                </c:pt>
                <c:pt idx="6">
                  <c:v>0.50700000000000001</c:v>
                </c:pt>
                <c:pt idx="7">
                  <c:v>0.503</c:v>
                </c:pt>
                <c:pt idx="8">
                  <c:v>0.49299999999999999</c:v>
                </c:pt>
                <c:pt idx="9">
                  <c:v>0.49299999999999999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7-4BC6-9422-F308135FA170}"/>
            </c:ext>
          </c:extLst>
        </c:ser>
        <c:ser>
          <c:idx val="1"/>
          <c:order val="2"/>
          <c:tx>
            <c:v>FASTnAT</c:v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44450">
                <a:solidFill>
                  <a:srgbClr val="0070C0"/>
                </a:solidFill>
              </a:ln>
              <a:effectLst/>
            </c:spPr>
          </c:marker>
          <c:xVal>
            <c:numRef>
              <c:f>realData!$C$4:$C$13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realData!$E$4:$E$13</c:f>
              <c:numCache>
                <c:formatCode>General</c:formatCode>
                <c:ptCount val="10"/>
                <c:pt idx="0">
                  <c:v>1</c:v>
                </c:pt>
                <c:pt idx="1">
                  <c:v>0.59881503720317231</c:v>
                </c:pt>
                <c:pt idx="2">
                  <c:v>0.52558780422629747</c:v>
                </c:pt>
                <c:pt idx="3">
                  <c:v>0.50934851109182055</c:v>
                </c:pt>
                <c:pt idx="4">
                  <c:v>0.50556825957257612</c:v>
                </c:pt>
                <c:pt idx="5">
                  <c:v>0.50471122952193748</c:v>
                </c:pt>
                <c:pt idx="6">
                  <c:v>0.50450435602098154</c:v>
                </c:pt>
                <c:pt idx="7">
                  <c:v>0.50445311867360276</c:v>
                </c:pt>
                <c:pt idx="8">
                  <c:v>0.50445319501110697</c:v>
                </c:pt>
                <c:pt idx="9">
                  <c:v>0.50445319501110697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87-485E-88CE-0AE2EACA3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498488"/>
        <c:axId val="590499128"/>
      </c:scatterChart>
      <c:valAx>
        <c:axId val="590498488"/>
        <c:scaling>
          <c:orientation val="minMax"/>
          <c:max val="1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Turbine Number</a:t>
                </a:r>
              </a:p>
            </c:rich>
          </c:tx>
          <c:layout>
            <c:manualLayout>
              <c:xMode val="edge"/>
              <c:yMode val="edge"/>
              <c:x val="0.39934553194282313"/>
              <c:y val="0.78291051780253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99128"/>
        <c:crosses val="autoZero"/>
        <c:crossBetween val="midCat"/>
        <c:majorUnit val="1"/>
      </c:valAx>
      <c:valAx>
        <c:axId val="590499128"/>
        <c:scaling>
          <c:orientation val="minMax"/>
          <c:max val="1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>
                    <a:solidFill>
                      <a:sysClr val="windowText" lastClr="000000"/>
                    </a:solidFill>
                  </a:rPr>
                  <a:t>Normalised power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9848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6448439610144228E-2"/>
          <c:y val="0.87432215225429177"/>
          <c:w val="0.93494933456762264"/>
          <c:h val="7.3723240052703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Power, Pitch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verifyPoli!$B$6:$B$17</c:f>
              <c:numCache>
                <c:formatCode>General</c:formatCode>
                <c:ptCount val="12"/>
                <c:pt idx="0">
                  <c:v>31.549230838137198</c:v>
                </c:pt>
                <c:pt idx="1">
                  <c:v>173.72130825924299</c:v>
                </c:pt>
                <c:pt idx="2">
                  <c:v>405.54201380256598</c:v>
                </c:pt>
                <c:pt idx="3">
                  <c:v>755.31078566090002</c:v>
                </c:pt>
                <c:pt idx="4">
                  <c:v>1235.8171950999599</c:v>
                </c:pt>
                <c:pt idx="5">
                  <c:v>1750.04165670871</c:v>
                </c:pt>
                <c:pt idx="6">
                  <c:v>1859.2387525602401</c:v>
                </c:pt>
                <c:pt idx="7">
                  <c:v>2641.07892259858</c:v>
                </c:pt>
                <c:pt idx="8">
                  <c:v>3611.1735846562801</c:v>
                </c:pt>
                <c:pt idx="9">
                  <c:v>4113.2890603276601</c:v>
                </c:pt>
                <c:pt idx="10">
                  <c:v>4796.5967048233697</c:v>
                </c:pt>
                <c:pt idx="11">
                  <c:v>5327.3936239043396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27-4029-B064-304B259E37E4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verifyPoli!$E$6:$E$17</c:f>
              <c:numCache>
                <c:formatCode>General</c:formatCode>
                <c:ptCount val="12"/>
                <c:pt idx="0">
                  <c:v>29.6841375041882</c:v>
                </c:pt>
                <c:pt idx="1">
                  <c:v>174.12721074507499</c:v>
                </c:pt>
                <c:pt idx="2">
                  <c:v>405.71279761903497</c:v>
                </c:pt>
                <c:pt idx="3">
                  <c:v>755.37289867353297</c:v>
                </c:pt>
                <c:pt idx="4">
                  <c:v>1235.9221663148801</c:v>
                </c:pt>
                <c:pt idx="5">
                  <c:v>1751.1557182854001</c:v>
                </c:pt>
                <c:pt idx="6">
                  <c:v>1860.60263994153</c:v>
                </c:pt>
                <c:pt idx="7">
                  <c:v>2643.13436556222</c:v>
                </c:pt>
                <c:pt idx="8">
                  <c:v>3614.6231210092901</c:v>
                </c:pt>
                <c:pt idx="9">
                  <c:v>4117.3215569040303</c:v>
                </c:pt>
                <c:pt idx="10">
                  <c:v>4799.0526816380398</c:v>
                </c:pt>
                <c:pt idx="11">
                  <c:v>5327.0492054420401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27-4029-B064-304B259E37E4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verifyPoli!$H$6:$H$17</c:f>
              <c:numCache>
                <c:formatCode>General</c:formatCode>
                <c:ptCount val="12"/>
                <c:pt idx="0">
                  <c:v>27.456952567005899</c:v>
                </c:pt>
                <c:pt idx="1">
                  <c:v>174.55997337772601</c:v>
                </c:pt>
                <c:pt idx="2">
                  <c:v>406.77076010473598</c:v>
                </c:pt>
                <c:pt idx="3">
                  <c:v>756.90409432052797</c:v>
                </c:pt>
                <c:pt idx="4">
                  <c:v>1238.4127708779899</c:v>
                </c:pt>
                <c:pt idx="5">
                  <c:v>1754.3931237608299</c:v>
                </c:pt>
                <c:pt idx="6">
                  <c:v>1864.1741173741</c:v>
                </c:pt>
                <c:pt idx="7">
                  <c:v>2648.0262839665802</c:v>
                </c:pt>
                <c:pt idx="8">
                  <c:v>3621.7065962694201</c:v>
                </c:pt>
                <c:pt idx="9">
                  <c:v>4125.3859523928204</c:v>
                </c:pt>
                <c:pt idx="10">
                  <c:v>4805.7575783073298</c:v>
                </c:pt>
                <c:pt idx="11">
                  <c:v>5331.3860785175302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27-4029-B064-304B259E37E4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verifyPoli!$L$6:$L$17</c:f>
              <c:numCache>
                <c:formatCode>General</c:formatCode>
                <c:ptCount val="12"/>
                <c:pt idx="0">
                  <c:v>31.583809572398799</c:v>
                </c:pt>
                <c:pt idx="1">
                  <c:v>171.06243280021999</c:v>
                </c:pt>
                <c:pt idx="2">
                  <c:v>407.37192871235698</c:v>
                </c:pt>
                <c:pt idx="3">
                  <c:v>756.78866796187106</c:v>
                </c:pt>
                <c:pt idx="4">
                  <c:v>1234.88665879155</c:v>
                </c:pt>
                <c:pt idx="5">
                  <c:v>1747.69382110418</c:v>
                </c:pt>
                <c:pt idx="6">
                  <c:v>1857.80190202887</c:v>
                </c:pt>
                <c:pt idx="7">
                  <c:v>2643.4967460809398</c:v>
                </c:pt>
                <c:pt idx="8">
                  <c:v>3613.02424192947</c:v>
                </c:pt>
                <c:pt idx="9">
                  <c:v>4115.8651817259697</c:v>
                </c:pt>
                <c:pt idx="10">
                  <c:v>4791.7924981257402</c:v>
                </c:pt>
                <c:pt idx="11">
                  <c:v>5328.6196779864504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27-4029-B064-304B259E37E4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verifyPoli!$O$6:$O$17</c:f>
              <c:numCache>
                <c:formatCode>General</c:formatCode>
                <c:ptCount val="12"/>
                <c:pt idx="0">
                  <c:v>29.124452665336602</c:v>
                </c:pt>
                <c:pt idx="1">
                  <c:v>171.772857160217</c:v>
                </c:pt>
                <c:pt idx="2">
                  <c:v>408.79461393043402</c:v>
                </c:pt>
                <c:pt idx="3">
                  <c:v>758.42479277888503</c:v>
                </c:pt>
                <c:pt idx="4">
                  <c:v>1237.3902334014699</c:v>
                </c:pt>
                <c:pt idx="5">
                  <c:v>1751.7088881472901</c:v>
                </c:pt>
                <c:pt idx="6">
                  <c:v>1862.1739003820201</c:v>
                </c:pt>
                <c:pt idx="7">
                  <c:v>2650.2792381873201</c:v>
                </c:pt>
                <c:pt idx="8">
                  <c:v>3621.49452616198</c:v>
                </c:pt>
                <c:pt idx="9">
                  <c:v>4124.3370181308801</c:v>
                </c:pt>
                <c:pt idx="10">
                  <c:v>4799.1572335234696</c:v>
                </c:pt>
                <c:pt idx="11">
                  <c:v>5334.1427979609798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27-4029-B064-304B259E37E4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verifyPoli!$R$6:$R$17</c:f>
              <c:numCache>
                <c:formatCode>General</c:formatCode>
                <c:ptCount val="12"/>
                <c:pt idx="0">
                  <c:v>26.665095758274401</c:v>
                </c:pt>
                <c:pt idx="1">
                  <c:v>172.48328152021301</c:v>
                </c:pt>
                <c:pt idx="2">
                  <c:v>410.21729914850999</c:v>
                </c:pt>
                <c:pt idx="3">
                  <c:v>760.06091759589901</c:v>
                </c:pt>
                <c:pt idx="4">
                  <c:v>1239.8938080113801</c:v>
                </c:pt>
                <c:pt idx="5">
                  <c:v>1755.7239551904099</c:v>
                </c:pt>
                <c:pt idx="6">
                  <c:v>1866.5458987351799</c:v>
                </c:pt>
                <c:pt idx="7">
                  <c:v>2657.0617302936998</c:v>
                </c:pt>
                <c:pt idx="8">
                  <c:v>3629.9648103944901</c:v>
                </c:pt>
                <c:pt idx="9">
                  <c:v>4132.8088545357896</c:v>
                </c:pt>
                <c:pt idx="10">
                  <c:v>4806.5219689211899</c:v>
                </c:pt>
                <c:pt idx="11">
                  <c:v>5339.6659179355001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27-4029-B064-304B259E3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CRBM, Pitch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verifyPoli!$C$6:$C$17</c:f>
              <c:numCache>
                <c:formatCode>General</c:formatCode>
                <c:ptCount val="12"/>
                <c:pt idx="0">
                  <c:v>806.32080984560002</c:v>
                </c:pt>
                <c:pt idx="1">
                  <c:v>713.78891176323805</c:v>
                </c:pt>
                <c:pt idx="2">
                  <c:v>647.00487592793797</c:v>
                </c:pt>
                <c:pt idx="3">
                  <c:v>615.46351442301705</c:v>
                </c:pt>
                <c:pt idx="4">
                  <c:v>621.59906170346505</c:v>
                </c:pt>
                <c:pt idx="5">
                  <c:v>661.185863141087</c:v>
                </c:pt>
                <c:pt idx="6">
                  <c:v>667.96746455767698</c:v>
                </c:pt>
                <c:pt idx="7">
                  <c:v>732.67084086136799</c:v>
                </c:pt>
                <c:pt idx="8">
                  <c:v>817.63342498636905</c:v>
                </c:pt>
                <c:pt idx="9">
                  <c:v>857.06025420355002</c:v>
                </c:pt>
                <c:pt idx="10">
                  <c:v>914.32835531820604</c:v>
                </c:pt>
                <c:pt idx="11">
                  <c:v>947.49488845555595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12-41FE-B23A-6E6398A89EED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verifyPoli!$F$6:$F$17</c:f>
              <c:numCache>
                <c:formatCode>General</c:formatCode>
                <c:ptCount val="12"/>
                <c:pt idx="0">
                  <c:v>809.900346774068</c:v>
                </c:pt>
                <c:pt idx="1">
                  <c:v>722.40082366718605</c:v>
                </c:pt>
                <c:pt idx="2">
                  <c:v>662.99721680191999</c:v>
                </c:pt>
                <c:pt idx="3">
                  <c:v>648.31919592636996</c:v>
                </c:pt>
                <c:pt idx="4">
                  <c:v>676.32301881902799</c:v>
                </c:pt>
                <c:pt idx="5">
                  <c:v>736.97729795104203</c:v>
                </c:pt>
                <c:pt idx="6">
                  <c:v>748.907035326254</c:v>
                </c:pt>
                <c:pt idx="7">
                  <c:v>849.95693926603406</c:v>
                </c:pt>
                <c:pt idx="8">
                  <c:v>975.27508708992195</c:v>
                </c:pt>
                <c:pt idx="9">
                  <c:v>1034.81622747095</c:v>
                </c:pt>
                <c:pt idx="10">
                  <c:v>1105.4237106038699</c:v>
                </c:pt>
                <c:pt idx="11">
                  <c:v>1139.92647409604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12-41FE-B23A-6E6398A89EED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verifyPoli!$I$6:$I$17</c:f>
              <c:numCache>
                <c:formatCode>General</c:formatCode>
                <c:ptCount val="12"/>
                <c:pt idx="0">
                  <c:v>814.49477384530405</c:v>
                </c:pt>
                <c:pt idx="1">
                  <c:v>735.64425630622998</c:v>
                </c:pt>
                <c:pt idx="2">
                  <c:v>685.87303832720704</c:v>
                </c:pt>
                <c:pt idx="3">
                  <c:v>694.03648110821098</c:v>
                </c:pt>
                <c:pt idx="4">
                  <c:v>751.39497794093802</c:v>
                </c:pt>
                <c:pt idx="5">
                  <c:v>835.69507398218502</c:v>
                </c:pt>
                <c:pt idx="6">
                  <c:v>853.90239949641602</c:v>
                </c:pt>
                <c:pt idx="7">
                  <c:v>997.90798002692395</c:v>
                </c:pt>
                <c:pt idx="8">
                  <c:v>1169.54642498984</c:v>
                </c:pt>
                <c:pt idx="9">
                  <c:v>1251.0682890980599</c:v>
                </c:pt>
                <c:pt idx="10">
                  <c:v>1337.00057727382</c:v>
                </c:pt>
                <c:pt idx="11">
                  <c:v>1374.78349988171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12-41FE-B23A-6E6398A89EED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verifyPoli!$M$6:$M$17</c:f>
              <c:numCache>
                <c:formatCode>General</c:formatCode>
                <c:ptCount val="12"/>
                <c:pt idx="0">
                  <c:v>810.09718011994005</c:v>
                </c:pt>
                <c:pt idx="1">
                  <c:v>711.49863675317499</c:v>
                </c:pt>
                <c:pt idx="2">
                  <c:v>654.414955370999</c:v>
                </c:pt>
                <c:pt idx="3">
                  <c:v>633.69637673368595</c:v>
                </c:pt>
                <c:pt idx="4">
                  <c:v>648.96531883032696</c:v>
                </c:pt>
                <c:pt idx="5">
                  <c:v>689.907803143141</c:v>
                </c:pt>
                <c:pt idx="6">
                  <c:v>700.54200248679899</c:v>
                </c:pt>
                <c:pt idx="7">
                  <c:v>785.37007697376896</c:v>
                </c:pt>
                <c:pt idx="8">
                  <c:v>892.94224561466604</c:v>
                </c:pt>
                <c:pt idx="9">
                  <c:v>943.42489182239399</c:v>
                </c:pt>
                <c:pt idx="10">
                  <c:v>1001.22589139365</c:v>
                </c:pt>
                <c:pt idx="11">
                  <c:v>1036.92616652164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12-41FE-B23A-6E6398A89EED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verifyPoli!$P$6:$P$17</c:f>
              <c:numCache>
                <c:formatCode>General</c:formatCode>
                <c:ptCount val="12"/>
                <c:pt idx="0">
                  <c:v>813.88498323912097</c:v>
                </c:pt>
                <c:pt idx="1">
                  <c:v>726.97686573130204</c:v>
                </c:pt>
                <c:pt idx="2">
                  <c:v>681.37398976286602</c:v>
                </c:pt>
                <c:pt idx="3">
                  <c:v>678.40274043389604</c:v>
                </c:pt>
                <c:pt idx="4">
                  <c:v>720.94098002936096</c:v>
                </c:pt>
                <c:pt idx="5">
                  <c:v>792.267918102458</c:v>
                </c:pt>
                <c:pt idx="6">
                  <c:v>809.34367362710395</c:v>
                </c:pt>
                <c:pt idx="7">
                  <c:v>937.36851470581996</c:v>
                </c:pt>
                <c:pt idx="8">
                  <c:v>1088.1015507530401</c:v>
                </c:pt>
                <c:pt idx="9">
                  <c:v>1155.5477774015001</c:v>
                </c:pt>
                <c:pt idx="10">
                  <c:v>1229.88280887313</c:v>
                </c:pt>
                <c:pt idx="11">
                  <c:v>1273.5066685138599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C12-41FE-B23A-6E6398A89EED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verifyPoli!$S$6:$S$17</c:f>
              <c:numCache>
                <c:formatCode>General</c:formatCode>
                <c:ptCount val="12"/>
                <c:pt idx="0">
                  <c:v>817.67278635830303</c:v>
                </c:pt>
                <c:pt idx="1">
                  <c:v>742.45509470943</c:v>
                </c:pt>
                <c:pt idx="2">
                  <c:v>708.33302415473395</c:v>
                </c:pt>
                <c:pt idx="3">
                  <c:v>723.10910413410602</c:v>
                </c:pt>
                <c:pt idx="4">
                  <c:v>792.916641228397</c:v>
                </c:pt>
                <c:pt idx="5">
                  <c:v>894.62803306177602</c:v>
                </c:pt>
                <c:pt idx="6">
                  <c:v>918.14534476740596</c:v>
                </c:pt>
                <c:pt idx="7">
                  <c:v>1089.3669524378699</c:v>
                </c:pt>
                <c:pt idx="8">
                  <c:v>1283.2608558914201</c:v>
                </c:pt>
                <c:pt idx="9">
                  <c:v>1367.6706629805999</c:v>
                </c:pt>
                <c:pt idx="10">
                  <c:v>1458.5397263526099</c:v>
                </c:pt>
                <c:pt idx="11">
                  <c:v>1510.0871705060799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C12-41FE-B23A-6E6398A89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solidFill>
            <a:schemeClr val="accent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Ct, Pitch = 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verifyPoli!$D$6:$D$17</c:f>
              <c:numCache>
                <c:formatCode>General</c:formatCode>
                <c:ptCount val="12"/>
                <c:pt idx="0">
                  <c:v>1.11214988346286</c:v>
                </c:pt>
                <c:pt idx="1">
                  <c:v>0.98628736937109496</c:v>
                </c:pt>
                <c:pt idx="2">
                  <c:v>0.90690408902167896</c:v>
                </c:pt>
                <c:pt idx="3">
                  <c:v>0.85005716732232095</c:v>
                </c:pt>
                <c:pt idx="4">
                  <c:v>0.80428510505420003</c:v>
                </c:pt>
                <c:pt idx="5">
                  <c:v>0.77163020643470903</c:v>
                </c:pt>
                <c:pt idx="6">
                  <c:v>0.77110705568134397</c:v>
                </c:pt>
                <c:pt idx="7">
                  <c:v>0.76931524849970601</c:v>
                </c:pt>
                <c:pt idx="8">
                  <c:v>0.766604656462478</c:v>
                </c:pt>
                <c:pt idx="9">
                  <c:v>0.76496343205495698</c:v>
                </c:pt>
                <c:pt idx="10">
                  <c:v>0.74529051138044</c:v>
                </c:pt>
                <c:pt idx="11">
                  <c:v>0.73115127500628097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D-4B02-9538-ECA66ACA122D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verifyPoli!$G$6:$G$17</c:f>
              <c:numCache>
                <c:formatCode>General</c:formatCode>
                <c:ptCount val="12"/>
                <c:pt idx="0">
                  <c:v>1.1147613885112899</c:v>
                </c:pt>
                <c:pt idx="1">
                  <c:v>0.98871722899712</c:v>
                </c:pt>
                <c:pt idx="2">
                  <c:v>0.90915697430276399</c:v>
                </c:pt>
                <c:pt idx="3">
                  <c:v>0.85164889970038804</c:v>
                </c:pt>
                <c:pt idx="4">
                  <c:v>0.80552884595118901</c:v>
                </c:pt>
                <c:pt idx="5">
                  <c:v>0.77301684711956598</c:v>
                </c:pt>
                <c:pt idx="6">
                  <c:v>0.77251044582478601</c:v>
                </c:pt>
                <c:pt idx="7">
                  <c:v>0.77053014342931403</c:v>
                </c:pt>
                <c:pt idx="8">
                  <c:v>0.76783174998961701</c:v>
                </c:pt>
                <c:pt idx="9">
                  <c:v>0.76615674654020705</c:v>
                </c:pt>
                <c:pt idx="10">
                  <c:v>0.74621294417142203</c:v>
                </c:pt>
                <c:pt idx="11">
                  <c:v>0.73177218162651403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7D-4B02-9538-ECA66ACA122D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verifyPoli!$J$6:$J$17</c:f>
              <c:numCache>
                <c:formatCode>General</c:formatCode>
                <c:ptCount val="12"/>
                <c:pt idx="0">
                  <c:v>1.11794826225293</c:v>
                </c:pt>
                <c:pt idx="1">
                  <c:v>0.99209620604398996</c:v>
                </c:pt>
                <c:pt idx="2">
                  <c:v>0.91220101238397699</c:v>
                </c:pt>
                <c:pt idx="3">
                  <c:v>0.85382927738603498</c:v>
                </c:pt>
                <c:pt idx="4">
                  <c:v>0.80738682545164897</c:v>
                </c:pt>
                <c:pt idx="5">
                  <c:v>0.77472591656962497</c:v>
                </c:pt>
                <c:pt idx="6">
                  <c:v>0.77422469768903701</c:v>
                </c:pt>
                <c:pt idx="7">
                  <c:v>0.77207115742542398</c:v>
                </c:pt>
                <c:pt idx="8">
                  <c:v>0.76939282070950299</c:v>
                </c:pt>
                <c:pt idx="9">
                  <c:v>0.76769404192719104</c:v>
                </c:pt>
                <c:pt idx="10">
                  <c:v>0.747403193906373</c:v>
                </c:pt>
                <c:pt idx="11">
                  <c:v>0.73262692098478899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7D-4B02-9538-ECA66ACA122D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verifyPoli!$N$6:$N$17</c:f>
              <c:numCache>
                <c:formatCode>General</c:formatCode>
                <c:ptCount val="12"/>
                <c:pt idx="0">
                  <c:v>1.11282245532541</c:v>
                </c:pt>
                <c:pt idx="1">
                  <c:v>0.98813021058449002</c:v>
                </c:pt>
                <c:pt idx="2">
                  <c:v>0.90829385876831203</c:v>
                </c:pt>
                <c:pt idx="3">
                  <c:v>0.84850212610210696</c:v>
                </c:pt>
                <c:pt idx="4">
                  <c:v>0.80274229166033695</c:v>
                </c:pt>
                <c:pt idx="5">
                  <c:v>0.77731689390243597</c:v>
                </c:pt>
                <c:pt idx="6">
                  <c:v>0.774040939958625</c:v>
                </c:pt>
                <c:pt idx="7">
                  <c:v>0.76470471354569702</c:v>
                </c:pt>
                <c:pt idx="8">
                  <c:v>0.76656106559533899</c:v>
                </c:pt>
                <c:pt idx="9">
                  <c:v>0.76446638636153996</c:v>
                </c:pt>
                <c:pt idx="10">
                  <c:v>0.75119901249830001</c:v>
                </c:pt>
                <c:pt idx="11">
                  <c:v>0.72838039770474206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7D-4B02-9538-ECA66ACA122D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verifyPoli!$Q$6:$Q$17</c:f>
              <c:numCache>
                <c:formatCode>General</c:formatCode>
                <c:ptCount val="12"/>
                <c:pt idx="0">
                  <c:v>1.11649662735674</c:v>
                </c:pt>
                <c:pt idx="1">
                  <c:v>0.99177936348096696</c:v>
                </c:pt>
                <c:pt idx="2">
                  <c:v>0.91141454551685497</c:v>
                </c:pt>
                <c:pt idx="3">
                  <c:v>0.85099278349674801</c:v>
                </c:pt>
                <c:pt idx="4">
                  <c:v>0.80475172660941297</c:v>
                </c:pt>
                <c:pt idx="5">
                  <c:v>0.77911385555199697</c:v>
                </c:pt>
                <c:pt idx="6">
                  <c:v>0.77581681579196404</c:v>
                </c:pt>
                <c:pt idx="7">
                  <c:v>0.76644203632181196</c:v>
                </c:pt>
                <c:pt idx="8">
                  <c:v>0.76825067040861295</c:v>
                </c:pt>
                <c:pt idx="9">
                  <c:v>0.76604231103809906</c:v>
                </c:pt>
                <c:pt idx="10">
                  <c:v>0.752476049786164</c:v>
                </c:pt>
                <c:pt idx="11">
                  <c:v>0.729281728534658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7D-4B02-9538-ECA66ACA122D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verifyPoli!$A$6:$A$17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verifyPoli!$T$6:$T$17</c:f>
              <c:numCache>
                <c:formatCode>General</c:formatCode>
                <c:ptCount val="12"/>
                <c:pt idx="0">
                  <c:v>1.1201707993880601</c:v>
                </c:pt>
                <c:pt idx="1">
                  <c:v>0.99542851637744401</c:v>
                </c:pt>
                <c:pt idx="2">
                  <c:v>0.91453523226540101</c:v>
                </c:pt>
                <c:pt idx="3">
                  <c:v>0.85348344089139005</c:v>
                </c:pt>
                <c:pt idx="4">
                  <c:v>0.80676116155848598</c:v>
                </c:pt>
                <c:pt idx="5">
                  <c:v>0.78091081720155997</c:v>
                </c:pt>
                <c:pt idx="6">
                  <c:v>0.77759269162530698</c:v>
                </c:pt>
                <c:pt idx="7">
                  <c:v>0.768179359097929</c:v>
                </c:pt>
                <c:pt idx="8">
                  <c:v>0.76994027522188002</c:v>
                </c:pt>
                <c:pt idx="9">
                  <c:v>0.76761823571465204</c:v>
                </c:pt>
                <c:pt idx="10">
                  <c:v>0.75375308707402</c:v>
                </c:pt>
                <c:pt idx="11">
                  <c:v>0.73018305936456596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7D-4B02-9538-ECA66ACA1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Power, Pitch = 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verifyPoli!$B$22:$B$32</c:f>
              <c:numCache>
                <c:formatCode>General</c:formatCode>
                <c:ptCount val="11"/>
                <c:pt idx="0">
                  <c:v>176.77150453280001</c:v>
                </c:pt>
                <c:pt idx="1">
                  <c:v>400.71685132553699</c:v>
                </c:pt>
                <c:pt idx="2">
                  <c:v>725.70236055302996</c:v>
                </c:pt>
                <c:pt idx="3">
                  <c:v>1156.3405118195001</c:v>
                </c:pt>
                <c:pt idx="4">
                  <c:v>1623.35507259818</c:v>
                </c:pt>
                <c:pt idx="5">
                  <c:v>1727.25486340316</c:v>
                </c:pt>
                <c:pt idx="6">
                  <c:v>2453.9794890968201</c:v>
                </c:pt>
                <c:pt idx="7">
                  <c:v>3350.9058597665598</c:v>
                </c:pt>
                <c:pt idx="8">
                  <c:v>3809.9292654087399</c:v>
                </c:pt>
                <c:pt idx="9">
                  <c:v>4406.31231829424</c:v>
                </c:pt>
                <c:pt idx="10">
                  <c:v>4873.6433672509802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2-4031-AAEA-893D5943F6E8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verifyPoli!$E$22:$E$32</c:f>
              <c:numCache>
                <c:formatCode>General</c:formatCode>
                <c:ptCount val="11"/>
                <c:pt idx="0">
                  <c:v>176.90318547075699</c:v>
                </c:pt>
                <c:pt idx="1">
                  <c:v>400.84738672058899</c:v>
                </c:pt>
                <c:pt idx="2">
                  <c:v>722.25924300261602</c:v>
                </c:pt>
                <c:pt idx="3">
                  <c:v>1156.11611266618</c:v>
                </c:pt>
                <c:pt idx="4">
                  <c:v>1620.62989323643</c:v>
                </c:pt>
                <c:pt idx="5">
                  <c:v>1725.2251219765601</c:v>
                </c:pt>
                <c:pt idx="6" formatCode="0.00">
                  <c:v>2442.4414866573302</c:v>
                </c:pt>
                <c:pt idx="7">
                  <c:v>3358.6359299785399</c:v>
                </c:pt>
                <c:pt idx="8">
                  <c:v>3807.1947612576901</c:v>
                </c:pt>
                <c:pt idx="9">
                  <c:v>4411.57901423765</c:v>
                </c:pt>
                <c:pt idx="10">
                  <c:v>4889.9743823408598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2-4031-AAEA-893D5943F6E8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verifyPoli!$A$21:$A$32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verifyPoli!$H$21:$H$32</c:f>
              <c:numCache>
                <c:formatCode>General</c:formatCode>
                <c:ptCount val="12"/>
                <c:pt idx="0">
                  <c:v>30.575836026491402</c:v>
                </c:pt>
                <c:pt idx="1">
                  <c:v>175.77338574460501</c:v>
                </c:pt>
                <c:pt idx="2">
                  <c:v>402.882043689672</c:v>
                </c:pt>
                <c:pt idx="3">
                  <c:v>726.39457895893702</c:v>
                </c:pt>
                <c:pt idx="4">
                  <c:v>1158.0382147904299</c:v>
                </c:pt>
                <c:pt idx="5">
                  <c:v>1621.51606078912</c:v>
                </c:pt>
                <c:pt idx="6">
                  <c:v>1724.43167171561</c:v>
                </c:pt>
                <c:pt idx="7">
                  <c:v>2458.29578980008</c:v>
                </c:pt>
                <c:pt idx="8">
                  <c:v>3359.8816349712802</c:v>
                </c:pt>
                <c:pt idx="9">
                  <c:v>3818.1602089427602</c:v>
                </c:pt>
                <c:pt idx="10">
                  <c:v>4425.2106991077499</c:v>
                </c:pt>
                <c:pt idx="11">
                  <c:v>4898.30753810653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22-4031-AAEA-893D5943F6E8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verifyPoli!$L$22:$L$32</c:f>
              <c:numCache>
                <c:formatCode>General</c:formatCode>
                <c:ptCount val="11"/>
                <c:pt idx="0">
                  <c:v>174.37340371282701</c:v>
                </c:pt>
                <c:pt idx="1">
                  <c:v>402.61320821931503</c:v>
                </c:pt>
                <c:pt idx="2">
                  <c:v>723.840633671467</c:v>
                </c:pt>
                <c:pt idx="3">
                  <c:v>1155.96430182483</c:v>
                </c:pt>
                <c:pt idx="4">
                  <c:v>1622.4493617687999</c:v>
                </c:pt>
                <c:pt idx="5">
                  <c:v>1723.3413143221901</c:v>
                </c:pt>
                <c:pt idx="6">
                  <c:v>2449.2130137742602</c:v>
                </c:pt>
                <c:pt idx="7">
                  <c:v>3348.1407448404202</c:v>
                </c:pt>
                <c:pt idx="8">
                  <c:v>3809.4556894782399</c:v>
                </c:pt>
                <c:pt idx="9">
                  <c:v>4418.4416153094398</c:v>
                </c:pt>
                <c:pt idx="10">
                  <c:v>4889.8091686149701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22-4031-AAEA-893D5943F6E8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verifyPoli!$O$22:$O$32</c:f>
              <c:numCache>
                <c:formatCode>General</c:formatCode>
                <c:ptCount val="11"/>
                <c:pt idx="0">
                  <c:v>174.471248039523</c:v>
                </c:pt>
                <c:pt idx="1">
                  <c:v>403.82204766932603</c:v>
                </c:pt>
                <c:pt idx="2">
                  <c:v>725.371047897067</c:v>
                </c:pt>
                <c:pt idx="3">
                  <c:v>1157.9362050827499</c:v>
                </c:pt>
                <c:pt idx="4">
                  <c:v>1625.32190847437</c:v>
                </c:pt>
                <c:pt idx="5">
                  <c:v>1726.45912987207</c:v>
                </c:pt>
                <c:pt idx="6" formatCode="0.00">
                  <c:v>2454.44084827712</c:v>
                </c:pt>
                <c:pt idx="7">
                  <c:v>3356.3775627571299</c:v>
                </c:pt>
                <c:pt idx="8">
                  <c:v>3819.2478350770298</c:v>
                </c:pt>
                <c:pt idx="9">
                  <c:v>4430.1964132991498</c:v>
                </c:pt>
                <c:pt idx="10">
                  <c:v>4902.9644781163397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22-4031-AAEA-893D5943F6E8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verifyPoli!$A$21:$A$32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verifyPoli!$R$21:$R$32</c:f>
              <c:numCache>
                <c:formatCode>General</c:formatCode>
                <c:ptCount val="12"/>
                <c:pt idx="0">
                  <c:v>29.151854502294501</c:v>
                </c:pt>
                <c:pt idx="1">
                  <c:v>174.569092366219</c:v>
                </c:pt>
                <c:pt idx="2">
                  <c:v>405.03088711933702</c:v>
                </c:pt>
                <c:pt idx="3">
                  <c:v>726.901462122667</c:v>
                </c:pt>
                <c:pt idx="4">
                  <c:v>1159.90810834067</c:v>
                </c:pt>
                <c:pt idx="5">
                  <c:v>1628.1944551799299</c:v>
                </c:pt>
                <c:pt idx="6">
                  <c:v>1729.5769454219401</c:v>
                </c:pt>
                <c:pt idx="7">
                  <c:v>2459.6686827799799</c:v>
                </c:pt>
                <c:pt idx="8">
                  <c:v>3364.6143806738301</c:v>
                </c:pt>
                <c:pt idx="9">
                  <c:v>3829.0399806758201</c:v>
                </c:pt>
                <c:pt idx="10">
                  <c:v>4441.9512112888697</c:v>
                </c:pt>
                <c:pt idx="11">
                  <c:v>4916.1197876177102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22-4031-AAEA-893D5943F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CRBM, Pitch = 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verifyPoli!$C$22:$C$32</c:f>
              <c:numCache>
                <c:formatCode>General</c:formatCode>
                <c:ptCount val="11"/>
                <c:pt idx="0">
                  <c:v>787.13501612997004</c:v>
                </c:pt>
                <c:pt idx="1">
                  <c:v>713.05160163162304</c:v>
                </c:pt>
                <c:pt idx="2">
                  <c:v>665.65585870928396</c:v>
                </c:pt>
                <c:pt idx="3">
                  <c:v>650.91264999559303</c:v>
                </c:pt>
                <c:pt idx="4">
                  <c:v>674.47404086098902</c:v>
                </c:pt>
                <c:pt idx="5">
                  <c:v>678.37363433378596</c:v>
                </c:pt>
                <c:pt idx="6">
                  <c:v>724.81675078440298</c:v>
                </c:pt>
                <c:pt idx="7">
                  <c:v>796.53916485596994</c:v>
                </c:pt>
                <c:pt idx="8">
                  <c:v>830.59058839416105</c:v>
                </c:pt>
                <c:pt idx="9">
                  <c:v>881.76980944440504</c:v>
                </c:pt>
                <c:pt idx="10">
                  <c:v>916.42993496428403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72-4D83-B085-47E438938649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verifyPoli!$F$22:$F$32</c:f>
              <c:numCache>
                <c:formatCode>General</c:formatCode>
                <c:ptCount val="11"/>
                <c:pt idx="0">
                  <c:v>792.00921985616503</c:v>
                </c:pt>
                <c:pt idx="1">
                  <c:v>724.35982241554996</c:v>
                </c:pt>
                <c:pt idx="2">
                  <c:v>689.48084504961105</c:v>
                </c:pt>
                <c:pt idx="3">
                  <c:v>692.13162303195895</c:v>
                </c:pt>
                <c:pt idx="4">
                  <c:v>733.44392159705706</c:v>
                </c:pt>
                <c:pt idx="5">
                  <c:v>741.91600500359402</c:v>
                </c:pt>
                <c:pt idx="6">
                  <c:v>821.47290562890305</c:v>
                </c:pt>
                <c:pt idx="7">
                  <c:v>930.59549948783297</c:v>
                </c:pt>
                <c:pt idx="8">
                  <c:v>984.29940123848905</c:v>
                </c:pt>
                <c:pt idx="9">
                  <c:v>1052.8998073534101</c:v>
                </c:pt>
                <c:pt idx="10">
                  <c:v>1093.1056549990999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72-4D83-B085-47E438938649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verifyPoli!$A$21:$A$32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verifyPoli!$I$21:$I$32</c:f>
              <c:numCache>
                <c:formatCode>General</c:formatCode>
                <c:ptCount val="12"/>
                <c:pt idx="0">
                  <c:v>880.43686870834495</c:v>
                </c:pt>
                <c:pt idx="1">
                  <c:v>800.63530703482502</c:v>
                </c:pt>
                <c:pt idx="2">
                  <c:v>740.31911065018301</c:v>
                </c:pt>
                <c:pt idx="3">
                  <c:v>722.58173532614796</c:v>
                </c:pt>
                <c:pt idx="4">
                  <c:v>749.71018949085601</c:v>
                </c:pt>
                <c:pt idx="5">
                  <c:v>813.91107076054595</c:v>
                </c:pt>
                <c:pt idx="6">
                  <c:v>828.33809582650701</c:v>
                </c:pt>
                <c:pt idx="7">
                  <c:v>948.66023786387905</c:v>
                </c:pt>
                <c:pt idx="8">
                  <c:v>1102.8604494499</c:v>
                </c:pt>
                <c:pt idx="9">
                  <c:v>1178.9198817526101</c:v>
                </c:pt>
                <c:pt idx="10">
                  <c:v>1267.1456274965201</c:v>
                </c:pt>
                <c:pt idx="11">
                  <c:v>1314.29024943483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72-4D83-B085-47E438938649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verifyPoli!$M$22:$M$32</c:f>
              <c:numCache>
                <c:formatCode>General</c:formatCode>
                <c:ptCount val="11"/>
                <c:pt idx="0">
                  <c:v>785.74329669606698</c:v>
                </c:pt>
                <c:pt idx="1">
                  <c:v>717.29267704757899</c:v>
                </c:pt>
                <c:pt idx="2">
                  <c:v>678.08874513839805</c:v>
                </c:pt>
                <c:pt idx="3">
                  <c:v>672.43753796802002</c:v>
                </c:pt>
                <c:pt idx="4">
                  <c:v>695.43945437145805</c:v>
                </c:pt>
                <c:pt idx="5">
                  <c:v>702.68335255373495</c:v>
                </c:pt>
                <c:pt idx="6">
                  <c:v>767.12069253163702</c:v>
                </c:pt>
                <c:pt idx="7">
                  <c:v>857.90621475764499</c:v>
                </c:pt>
                <c:pt idx="8">
                  <c:v>903.42848469036505</c:v>
                </c:pt>
                <c:pt idx="9">
                  <c:v>958.97067590851998</c:v>
                </c:pt>
                <c:pt idx="10">
                  <c:v>996.75898384619995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72-4D83-B085-47E438938649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verifyPoli!$P$22:$P$32</c:f>
              <c:numCache>
                <c:formatCode>General</c:formatCode>
                <c:ptCount val="11"/>
                <c:pt idx="0">
                  <c:v>795.870169128322</c:v>
                </c:pt>
                <c:pt idx="1">
                  <c:v>735.97384496628194</c:v>
                </c:pt>
                <c:pt idx="2">
                  <c:v>711.24552705841904</c:v>
                </c:pt>
                <c:pt idx="3">
                  <c:v>729.34936148879501</c:v>
                </c:pt>
                <c:pt idx="4">
                  <c:v>779.94481340254094</c:v>
                </c:pt>
                <c:pt idx="5">
                  <c:v>793.156312641005</c:v>
                </c:pt>
                <c:pt idx="6">
                  <c:v>898.65610979919302</c:v>
                </c:pt>
                <c:pt idx="7">
                  <c:v>1032.8691937490601</c:v>
                </c:pt>
                <c:pt idx="8">
                  <c:v>1096.6863293025999</c:v>
                </c:pt>
                <c:pt idx="9">
                  <c:v>1171.7586633789001</c:v>
                </c:pt>
                <c:pt idx="10">
                  <c:v>1220.78439795182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872-4D83-B085-47E438938649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verifyPoli!$A$21:$A$32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verifyPoli!$S$21:$S$32</c:f>
              <c:numCache>
                <c:formatCode>General</c:formatCode>
                <c:ptCount val="12"/>
                <c:pt idx="0">
                  <c:v>881.86956981683795</c:v>
                </c:pt>
                <c:pt idx="1">
                  <c:v>805.99704156057601</c:v>
                </c:pt>
                <c:pt idx="2">
                  <c:v>754.65501288498604</c:v>
                </c:pt>
                <c:pt idx="3">
                  <c:v>744.40230897844003</c:v>
                </c:pt>
                <c:pt idx="4">
                  <c:v>786.26118500956898</c:v>
                </c:pt>
                <c:pt idx="5">
                  <c:v>864.45017243362599</c:v>
                </c:pt>
                <c:pt idx="6">
                  <c:v>883.62927272827505</c:v>
                </c:pt>
                <c:pt idx="7">
                  <c:v>1030.19152706675</c:v>
                </c:pt>
                <c:pt idx="8">
                  <c:v>1207.83217274048</c:v>
                </c:pt>
                <c:pt idx="9">
                  <c:v>1289.9441739148399</c:v>
                </c:pt>
                <c:pt idx="10">
                  <c:v>1384.54665084928</c:v>
                </c:pt>
                <c:pt idx="11">
                  <c:v>1444.80981205744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72-4D83-B085-47E438938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Ct, Pitch = 2.5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verifyPoli!$D$22:$D$32</c:f>
              <c:numCache>
                <c:formatCode>General</c:formatCode>
                <c:ptCount val="11"/>
                <c:pt idx="0">
                  <c:v>0.71388573414198297</c:v>
                </c:pt>
                <c:pt idx="1">
                  <c:v>0.69780914058288501</c:v>
                </c:pt>
                <c:pt idx="2">
                  <c:v>0.67500190493092405</c:v>
                </c:pt>
                <c:pt idx="3">
                  <c:v>0.647495567322801</c:v>
                </c:pt>
                <c:pt idx="4">
                  <c:v>0.63083505288636998</c:v>
                </c:pt>
                <c:pt idx="5">
                  <c:v>0.63130986790771004</c:v>
                </c:pt>
                <c:pt idx="6">
                  <c:v>0.629531505240984</c:v>
                </c:pt>
                <c:pt idx="7">
                  <c:v>0.62644365772376698</c:v>
                </c:pt>
                <c:pt idx="8">
                  <c:v>0.62392599004358196</c:v>
                </c:pt>
                <c:pt idx="9">
                  <c:v>0.61087953318597898</c:v>
                </c:pt>
                <c:pt idx="10">
                  <c:v>0.60181438781371199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9-4383-B01A-6566A0B62A73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verifyPoli!$G$22:$G$32</c:f>
              <c:numCache>
                <c:formatCode>General</c:formatCode>
                <c:ptCount val="11"/>
                <c:pt idx="0">
                  <c:v>0.71926454192070099</c:v>
                </c:pt>
                <c:pt idx="1">
                  <c:v>0.69942980131704902</c:v>
                </c:pt>
                <c:pt idx="2">
                  <c:v>0.67348483730369002</c:v>
                </c:pt>
                <c:pt idx="3">
                  <c:v>0.64823941624098103</c:v>
                </c:pt>
                <c:pt idx="4">
                  <c:v>0.63027431074208795</c:v>
                </c:pt>
                <c:pt idx="5">
                  <c:v>0.63118707409957298</c:v>
                </c:pt>
                <c:pt idx="6">
                  <c:v>0.62717954774444595</c:v>
                </c:pt>
                <c:pt idx="7">
                  <c:v>0.62782606942775798</c:v>
                </c:pt>
                <c:pt idx="8">
                  <c:v>0.62373659465106202</c:v>
                </c:pt>
                <c:pt idx="9">
                  <c:v>0.61149768182825004</c:v>
                </c:pt>
                <c:pt idx="10">
                  <c:v>0.60356583539545094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C9-4383-B01A-6566A0B62A73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verifyPoli!$A$21:$A$32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verifyPoli!$J$21:$J$32</c:f>
              <c:numCache>
                <c:formatCode>General</c:formatCode>
                <c:ptCount val="12"/>
                <c:pt idx="0">
                  <c:v>0.71090680388438499</c:v>
                </c:pt>
                <c:pt idx="1">
                  <c:v>0.71684324246126896</c:v>
                </c:pt>
                <c:pt idx="2">
                  <c:v>0.70282487076144096</c:v>
                </c:pt>
                <c:pt idx="3">
                  <c:v>0.67673963366346601</c:v>
                </c:pt>
                <c:pt idx="4">
                  <c:v>0.64921165895062904</c:v>
                </c:pt>
                <c:pt idx="5">
                  <c:v>0.63044096392610305</c:v>
                </c:pt>
                <c:pt idx="6">
                  <c:v>0.63062858235165098</c:v>
                </c:pt>
                <c:pt idx="7">
                  <c:v>0.63051477993698701</c:v>
                </c:pt>
                <c:pt idx="8">
                  <c:v>0.62759345367496</c:v>
                </c:pt>
                <c:pt idx="9">
                  <c:v>0.62490475482778896</c:v>
                </c:pt>
                <c:pt idx="10">
                  <c:v>0.61257763782007302</c:v>
                </c:pt>
                <c:pt idx="11">
                  <c:v>0.60375951511530901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C9-4383-B01A-6566A0B62A73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verifyPoli!$N$22:$N$32</c:f>
              <c:numCache>
                <c:formatCode>General</c:formatCode>
                <c:ptCount val="11"/>
                <c:pt idx="0">
                  <c:v>0.71554379249597699</c:v>
                </c:pt>
                <c:pt idx="1">
                  <c:v>0.69969052049724501</c:v>
                </c:pt>
                <c:pt idx="2">
                  <c:v>0.67332800944378501</c:v>
                </c:pt>
                <c:pt idx="3">
                  <c:v>0.64772178559601201</c:v>
                </c:pt>
                <c:pt idx="4">
                  <c:v>0.63293325637311704</c:v>
                </c:pt>
                <c:pt idx="5">
                  <c:v>0.63105598561667398</c:v>
                </c:pt>
                <c:pt idx="6">
                  <c:v>0.62582215575492595</c:v>
                </c:pt>
                <c:pt idx="7">
                  <c:v>0.62620805103041</c:v>
                </c:pt>
                <c:pt idx="8">
                  <c:v>0.624224255061815</c:v>
                </c:pt>
                <c:pt idx="9">
                  <c:v>0.61548643441733097</c:v>
                </c:pt>
                <c:pt idx="10">
                  <c:v>0.60182505694496402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C9-4383-B01A-6566A0B62A73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verifyPoli!$A$22:$A$32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7.84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10.45</c:v>
                </c:pt>
                <c:pt idx="9">
                  <c:v>11</c:v>
                </c:pt>
                <c:pt idx="10">
                  <c:v>11.4</c:v>
                </c:pt>
              </c:numCache>
            </c:numRef>
          </c:xVal>
          <c:yVal>
            <c:numRef>
              <c:f>verifyPoli!$Q$22:$Q$32</c:f>
              <c:numCache>
                <c:formatCode>General</c:formatCode>
                <c:ptCount val="11"/>
                <c:pt idx="0">
                  <c:v>0.71667825372239002</c:v>
                </c:pt>
                <c:pt idx="1">
                  <c:v>0.70109668414573101</c:v>
                </c:pt>
                <c:pt idx="2">
                  <c:v>0.67471139301703398</c:v>
                </c:pt>
                <c:pt idx="3">
                  <c:v>0.64888723133800297</c:v>
                </c:pt>
                <c:pt idx="4">
                  <c:v>0.63384346815953496</c:v>
                </c:pt>
                <c:pt idx="5">
                  <c:v>0.63191618560031304</c:v>
                </c:pt>
                <c:pt idx="6">
                  <c:v>0.62640617696969203</c:v>
                </c:pt>
                <c:pt idx="7">
                  <c:v>0.62666986046999695</c:v>
                </c:pt>
                <c:pt idx="8">
                  <c:v>0.62471653806425997</c:v>
                </c:pt>
                <c:pt idx="9">
                  <c:v>0.61611342416729298</c:v>
                </c:pt>
                <c:pt idx="10">
                  <c:v>0.60263009900029496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C9-4383-B01A-6566A0B62A73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verifyPoli!$A$21:$A$32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7.84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10.45</c:v>
                </c:pt>
                <c:pt idx="10">
                  <c:v>11</c:v>
                </c:pt>
                <c:pt idx="11">
                  <c:v>11.4</c:v>
                </c:pt>
              </c:numCache>
            </c:numRef>
          </c:xVal>
          <c:yVal>
            <c:numRef>
              <c:f>verifyPoli!$T$21:$T$32</c:f>
              <c:numCache>
                <c:formatCode>General</c:formatCode>
                <c:ptCount val="12"/>
                <c:pt idx="0">
                  <c:v>0.71010706370459398</c:v>
                </c:pt>
                <c:pt idx="1">
                  <c:v>0.71781271494880206</c:v>
                </c:pt>
                <c:pt idx="2">
                  <c:v>0.70250284779421601</c:v>
                </c:pt>
                <c:pt idx="3">
                  <c:v>0.67609477659028405</c:v>
                </c:pt>
                <c:pt idx="4">
                  <c:v>0.65005267707999403</c:v>
                </c:pt>
                <c:pt idx="5">
                  <c:v>0.634753679945953</c:v>
                </c:pt>
                <c:pt idx="6">
                  <c:v>0.632776385583951</c:v>
                </c:pt>
                <c:pt idx="7">
                  <c:v>0.626990198184457</c:v>
                </c:pt>
                <c:pt idx="8">
                  <c:v>0.62713166990958402</c:v>
                </c:pt>
                <c:pt idx="9">
                  <c:v>0.62520882106670395</c:v>
                </c:pt>
                <c:pt idx="10">
                  <c:v>0.61674041391725698</c:v>
                </c:pt>
                <c:pt idx="11">
                  <c:v>0.60343514105562801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C9-4383-B01A-6566A0B62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Power, Pitch =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verifyPoli!$A$39:$A$47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7.84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10.45</c:v>
                </c:pt>
                <c:pt idx="7">
                  <c:v>11</c:v>
                </c:pt>
                <c:pt idx="8">
                  <c:v>11.4</c:v>
                </c:pt>
              </c:numCache>
            </c:numRef>
          </c:xVal>
          <c:yVal>
            <c:numRef>
              <c:f>verifyPoli!$B$39:$B$47</c:f>
              <c:numCache>
                <c:formatCode>General</c:formatCode>
                <c:ptCount val="9"/>
                <c:pt idx="0">
                  <c:v>546.13959465477706</c:v>
                </c:pt>
                <c:pt idx="1">
                  <c:v>921.47860638444297</c:v>
                </c:pt>
                <c:pt idx="2">
                  <c:v>1305.94008571925</c:v>
                </c:pt>
                <c:pt idx="3">
                  <c:v>0</c:v>
                </c:pt>
                <c:pt idx="4">
                  <c:v>1984.44874260248</c:v>
                </c:pt>
                <c:pt idx="5">
                  <c:v>2696.8137133867299</c:v>
                </c:pt>
                <c:pt idx="6">
                  <c:v>3079.7749618271901</c:v>
                </c:pt>
                <c:pt idx="7">
                  <c:v>3601.1284326442001</c:v>
                </c:pt>
                <c:pt idx="8">
                  <c:v>4017.71455609961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4D-43F8-BC09-BF7A7DF5C317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verifyPoli!$E$41:$E$47</c:f>
              <c:numCache>
                <c:formatCode>General</c:formatCode>
                <c:ptCount val="7"/>
                <c:pt idx="0">
                  <c:v>1316.5046686276801</c:v>
                </c:pt>
                <c:pt idx="1">
                  <c:v>1394.59030262075</c:v>
                </c:pt>
                <c:pt idx="2">
                  <c:v>1978.6652777950301</c:v>
                </c:pt>
                <c:pt idx="3">
                  <c:v>2721.6749159330898</c:v>
                </c:pt>
                <c:pt idx="4">
                  <c:v>3081.8192937232802</c:v>
                </c:pt>
                <c:pt idx="5">
                  <c:v>3605.19057813577</c:v>
                </c:pt>
                <c:pt idx="6">
                  <c:v>4029.4785040280799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4D-43F8-BC09-BF7A7DF5C317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verifyPoli!$H$41:$H$47</c:f>
              <c:numCache>
                <c:formatCode>General</c:formatCode>
                <c:ptCount val="7"/>
                <c:pt idx="0">
                  <c:v>1325.41095666458</c:v>
                </c:pt>
                <c:pt idx="1">
                  <c:v>1404.76674994427</c:v>
                </c:pt>
                <c:pt idx="2">
                  <c:v>1988.69568061732</c:v>
                </c:pt>
                <c:pt idx="3">
                  <c:v>2708.7842555012699</c:v>
                </c:pt>
                <c:pt idx="4">
                  <c:v>3111.8690900737001</c:v>
                </c:pt>
                <c:pt idx="5">
                  <c:v>3626.8448761842201</c:v>
                </c:pt>
                <c:pt idx="6">
                  <c:v>4076.3372595504902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4D-43F8-BC09-BF7A7DF5C317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verifyPoli!$A$39:$A$47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7.84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10.45</c:v>
                </c:pt>
                <c:pt idx="7">
                  <c:v>11</c:v>
                </c:pt>
                <c:pt idx="8">
                  <c:v>11.4</c:v>
                </c:pt>
              </c:numCache>
            </c:numRef>
          </c:xVal>
          <c:yVal>
            <c:numRef>
              <c:f>verifyPoli!$L$39:$L$47</c:f>
              <c:numCache>
                <c:formatCode>General</c:formatCode>
                <c:ptCount val="9"/>
                <c:pt idx="0">
                  <c:v>547.74428273313004</c:v>
                </c:pt>
                <c:pt idx="1">
                  <c:v>915.41586116505198</c:v>
                </c:pt>
                <c:pt idx="2">
                  <c:v>1315.9694171757501</c:v>
                </c:pt>
                <c:pt idx="3">
                  <c:v>1399.75506398316</c:v>
                </c:pt>
                <c:pt idx="4">
                  <c:v>1984.33473978302</c:v>
                </c:pt>
                <c:pt idx="5">
                  <c:v>2705.7889454477099</c:v>
                </c:pt>
                <c:pt idx="6">
                  <c:v>3087.64941081298</c:v>
                </c:pt>
                <c:pt idx="7">
                  <c:v>3607.8353828376798</c:v>
                </c:pt>
                <c:pt idx="8">
                  <c:v>4022.65764120943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4D-43F8-BC09-BF7A7DF5C317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verifyPoli!$O$41:$O$47</c:f>
              <c:numCache>
                <c:formatCode>General</c:formatCode>
                <c:ptCount val="7"/>
                <c:pt idx="0">
                  <c:v>1316.7708608599301</c:v>
                </c:pt>
                <c:pt idx="1">
                  <c:v>1400.4216975235299</c:v>
                </c:pt>
                <c:pt idx="2">
                  <c:v>1985.5279015040101</c:v>
                </c:pt>
                <c:pt idx="3">
                  <c:v>2711.6754470974101</c:v>
                </c:pt>
                <c:pt idx="4">
                  <c:v>3097.3037538869398</c:v>
                </c:pt>
                <c:pt idx="5">
                  <c:v>3623.4003246114298</c:v>
                </c:pt>
                <c:pt idx="6">
                  <c:v>4043.2656580462499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4D-43F8-BC09-BF7A7DF5C317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verifyPoli!$R$41:$R$47</c:f>
              <c:numCache>
                <c:formatCode>General</c:formatCode>
                <c:ptCount val="7"/>
                <c:pt idx="0">
                  <c:v>1317.57230454413</c:v>
                </c:pt>
                <c:pt idx="1">
                  <c:v>1401.0883310639199</c:v>
                </c:pt>
                <c:pt idx="2">
                  <c:v>1986.7210632250101</c:v>
                </c:pt>
                <c:pt idx="3">
                  <c:v>2717.5619487471099</c:v>
                </c:pt>
                <c:pt idx="4">
                  <c:v>3106.9580969608801</c:v>
                </c:pt>
                <c:pt idx="5">
                  <c:v>3638.9652663851698</c:v>
                </c:pt>
                <c:pt idx="6">
                  <c:v>4063.8736748830902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4D-43F8-BC09-BF7A7DF5C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CRBM, Pitch =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verifyPoli!$A$39:$A$47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7.84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10.45</c:v>
                </c:pt>
                <c:pt idx="7">
                  <c:v>11</c:v>
                </c:pt>
                <c:pt idx="8">
                  <c:v>11.4</c:v>
                </c:pt>
              </c:numCache>
            </c:numRef>
          </c:xVal>
          <c:yVal>
            <c:numRef>
              <c:f>verifyPoli!$C$39:$C$47</c:f>
              <c:numCache>
                <c:formatCode>General</c:formatCode>
                <c:ptCount val="9"/>
                <c:pt idx="0">
                  <c:v>743.48385399337099</c:v>
                </c:pt>
                <c:pt idx="1">
                  <c:v>704.03554481809999</c:v>
                </c:pt>
                <c:pt idx="2">
                  <c:v>706.25544366644203</c:v>
                </c:pt>
                <c:pt idx="3">
                  <c:v>0</c:v>
                </c:pt>
                <c:pt idx="4">
                  <c:v>732.30210356062196</c:v>
                </c:pt>
                <c:pt idx="5">
                  <c:v>787.74351903907404</c:v>
                </c:pt>
                <c:pt idx="6">
                  <c:v>814.30160935839399</c:v>
                </c:pt>
                <c:pt idx="7">
                  <c:v>860.21029976089596</c:v>
                </c:pt>
                <c:pt idx="8">
                  <c:v>892.33981179341504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B5-40F8-869D-837B2C5E205C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verifyPoli!$F$41:$F$47</c:f>
              <c:numCache>
                <c:formatCode>General</c:formatCode>
                <c:ptCount val="7"/>
                <c:pt idx="0">
                  <c:v>751.63305438605198</c:v>
                </c:pt>
                <c:pt idx="1">
                  <c:v>756.79497163267695</c:v>
                </c:pt>
                <c:pt idx="2">
                  <c:v>811.42353497167403</c:v>
                </c:pt>
                <c:pt idx="3">
                  <c:v>903.04981105598495</c:v>
                </c:pt>
                <c:pt idx="4">
                  <c:v>949.97158682540305</c:v>
                </c:pt>
                <c:pt idx="5">
                  <c:v>1011.97419534797</c:v>
                </c:pt>
                <c:pt idx="6">
                  <c:v>1050.49670632331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B5-40F8-869D-837B2C5E205C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verifyPoli!$I$41:$I$47</c:f>
              <c:numCache>
                <c:formatCode>General</c:formatCode>
                <c:ptCount val="7"/>
                <c:pt idx="0">
                  <c:v>814.71170218323903</c:v>
                </c:pt>
                <c:pt idx="1">
                  <c:v>825.79099564766</c:v>
                </c:pt>
                <c:pt idx="2">
                  <c:v>917.90277923921099</c:v>
                </c:pt>
                <c:pt idx="3">
                  <c:v>1053.18130691075</c:v>
                </c:pt>
                <c:pt idx="4">
                  <c:v>1123.4700270989399</c:v>
                </c:pt>
                <c:pt idx="5">
                  <c:v>1205.1365134735399</c:v>
                </c:pt>
                <c:pt idx="6">
                  <c:v>1252.39692196595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B5-40F8-869D-837B2C5E205C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verifyPoli!$A$39:$A$47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7.84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10.45</c:v>
                </c:pt>
                <c:pt idx="7">
                  <c:v>11</c:v>
                </c:pt>
                <c:pt idx="8">
                  <c:v>11.4</c:v>
                </c:pt>
              </c:numCache>
            </c:numRef>
          </c:xVal>
          <c:yVal>
            <c:numRef>
              <c:f>verifyPoli!$M$39:$M$47</c:f>
              <c:numCache>
                <c:formatCode>General</c:formatCode>
                <c:ptCount val="9"/>
                <c:pt idx="0">
                  <c:v>753.20727953816004</c:v>
                </c:pt>
                <c:pt idx="1">
                  <c:v>719.76948328114395</c:v>
                </c:pt>
                <c:pt idx="2">
                  <c:v>723.02584877542495</c:v>
                </c:pt>
                <c:pt idx="3">
                  <c:v>726.31053133697196</c:v>
                </c:pt>
                <c:pt idx="4">
                  <c:v>765.77408876231505</c:v>
                </c:pt>
                <c:pt idx="5">
                  <c:v>837.12421420181101</c:v>
                </c:pt>
                <c:pt idx="6">
                  <c:v>877.34892526303304</c:v>
                </c:pt>
                <c:pt idx="7">
                  <c:v>928.75403707374596</c:v>
                </c:pt>
                <c:pt idx="8">
                  <c:v>963.691728248392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B5-40F8-869D-837B2C5E205C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verifyPoli!$P$41:$P$47</c:f>
              <c:numCache>
                <c:formatCode>General</c:formatCode>
                <c:ptCount val="7"/>
                <c:pt idx="0">
                  <c:v>789.32023149388999</c:v>
                </c:pt>
                <c:pt idx="1">
                  <c:v>797.57689773783</c:v>
                </c:pt>
                <c:pt idx="2">
                  <c:v>874.66968974920201</c:v>
                </c:pt>
                <c:pt idx="3">
                  <c:v>991.53582019791395</c:v>
                </c:pt>
                <c:pt idx="4">
                  <c:v>1051.63709549177</c:v>
                </c:pt>
                <c:pt idx="5">
                  <c:v>1123.12313692978</c:v>
                </c:pt>
                <c:pt idx="6">
                  <c:v>1167.37795444631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B5-40F8-869D-837B2C5E205C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verifyPoli!$S$41:$S$47</c:f>
              <c:numCache>
                <c:formatCode>General</c:formatCode>
                <c:ptCount val="7"/>
                <c:pt idx="0">
                  <c:v>855.61461421236004</c:v>
                </c:pt>
                <c:pt idx="1">
                  <c:v>868.84326413867598</c:v>
                </c:pt>
                <c:pt idx="2">
                  <c:v>983.56529073606498</c:v>
                </c:pt>
                <c:pt idx="3">
                  <c:v>1145.9474261939999</c:v>
                </c:pt>
                <c:pt idx="4">
                  <c:v>1225.92526572051</c:v>
                </c:pt>
                <c:pt idx="5">
                  <c:v>1317.4922367858101</c:v>
                </c:pt>
                <c:pt idx="6">
                  <c:v>1371.0641806441699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B5-40F8-869D-837B2C5E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Ct, Pitch =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FAST TI = 8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verifyPoli!$A$39:$A$47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7.84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10.45</c:v>
                </c:pt>
                <c:pt idx="7">
                  <c:v>11</c:v>
                </c:pt>
                <c:pt idx="8">
                  <c:v>11.4</c:v>
                </c:pt>
              </c:numCache>
            </c:numRef>
          </c:xVal>
          <c:yVal>
            <c:numRef>
              <c:f>verifyPoli!$D$39:$D$47</c:f>
              <c:numCache>
                <c:formatCode>General</c:formatCode>
                <c:ptCount val="9"/>
                <c:pt idx="0">
                  <c:v>0.46509016631244599</c:v>
                </c:pt>
                <c:pt idx="1">
                  <c:v>0.472401604145124</c:v>
                </c:pt>
                <c:pt idx="2">
                  <c:v>0.46858018280511299</c:v>
                </c:pt>
                <c:pt idx="3">
                  <c:v>0</c:v>
                </c:pt>
                <c:pt idx="4">
                  <c:v>0.47004054667866502</c:v>
                </c:pt>
                <c:pt idx="5">
                  <c:v>0.46615643393463202</c:v>
                </c:pt>
                <c:pt idx="6">
                  <c:v>0.46641723926970102</c:v>
                </c:pt>
                <c:pt idx="7">
                  <c:v>0.46393095506693899</c:v>
                </c:pt>
                <c:pt idx="8">
                  <c:v>0.46221277610525102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7-45FD-B030-9748508E91B4}"/>
            </c:ext>
          </c:extLst>
        </c:ser>
        <c:ser>
          <c:idx val="1"/>
          <c:order val="1"/>
          <c:tx>
            <c:v>FAST TI = 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verifyPoli!$G$41:$G$47</c:f>
              <c:numCache>
                <c:formatCode>General</c:formatCode>
                <c:ptCount val="7"/>
                <c:pt idx="0">
                  <c:v>0.47143001268169599</c:v>
                </c:pt>
                <c:pt idx="1">
                  <c:v>0.47031322759035699</c:v>
                </c:pt>
                <c:pt idx="2">
                  <c:v>0.46915172691019402</c:v>
                </c:pt>
                <c:pt idx="3">
                  <c:v>0.47038796467667399</c:v>
                </c:pt>
                <c:pt idx="4">
                  <c:v>0.46709784128484899</c:v>
                </c:pt>
                <c:pt idx="5">
                  <c:v>0.46406830223605799</c:v>
                </c:pt>
                <c:pt idx="6">
                  <c:v>0.46298708379387299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27-45FD-B030-9748508E91B4}"/>
            </c:ext>
          </c:extLst>
        </c:ser>
        <c:ser>
          <c:idx val="2"/>
          <c:order val="2"/>
          <c:tx>
            <c:v>FAST TI = 16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verifyPoli!$J$41:$J$47</c:f>
              <c:numCache>
                <c:formatCode>General</c:formatCode>
                <c:ptCount val="7"/>
                <c:pt idx="0">
                  <c:v>0.47381962392822202</c:v>
                </c:pt>
                <c:pt idx="1">
                  <c:v>0.47261625558908898</c:v>
                </c:pt>
                <c:pt idx="2">
                  <c:v>0.47018648409519898</c:v>
                </c:pt>
                <c:pt idx="3">
                  <c:v>0.46748399310015898</c:v>
                </c:pt>
                <c:pt idx="4">
                  <c:v>0.47059621256220302</c:v>
                </c:pt>
                <c:pt idx="5">
                  <c:v>0.46551811113974301</c:v>
                </c:pt>
                <c:pt idx="6">
                  <c:v>0.467259213215446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27-45FD-B030-9748508E91B4}"/>
            </c:ext>
          </c:extLst>
        </c:ser>
        <c:ser>
          <c:idx val="3"/>
          <c:order val="3"/>
          <c:tx>
            <c:v>Poli TI = 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verifyPoli!$A$39:$A$47</c:f>
              <c:numCache>
                <c:formatCode>General</c:formatCode>
                <c:ptCount val="9"/>
                <c:pt idx="0">
                  <c:v>6</c:v>
                </c:pt>
                <c:pt idx="1">
                  <c:v>7</c:v>
                </c:pt>
                <c:pt idx="2">
                  <c:v>7.84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10.45</c:v>
                </c:pt>
                <c:pt idx="7">
                  <c:v>11</c:v>
                </c:pt>
                <c:pt idx="8">
                  <c:v>11.4</c:v>
                </c:pt>
              </c:numCache>
            </c:numRef>
          </c:xVal>
          <c:yVal>
            <c:numRef>
              <c:f>verifyPoli!$N$39:$N$47</c:f>
              <c:numCache>
                <c:formatCode>General</c:formatCode>
                <c:ptCount val="9"/>
                <c:pt idx="0">
                  <c:v>0.46543611916955102</c:v>
                </c:pt>
                <c:pt idx="1">
                  <c:v>0.471107339540415</c:v>
                </c:pt>
                <c:pt idx="2">
                  <c:v>0.47141842532749301</c:v>
                </c:pt>
                <c:pt idx="3">
                  <c:v>0.47129689042422201</c:v>
                </c:pt>
                <c:pt idx="4">
                  <c:v>0.47015533861462899</c:v>
                </c:pt>
                <c:pt idx="5">
                  <c:v>0.46851708987673102</c:v>
                </c:pt>
                <c:pt idx="6">
                  <c:v>0.467307760547436</c:v>
                </c:pt>
                <c:pt idx="7">
                  <c:v>0.46502335969716502</c:v>
                </c:pt>
                <c:pt idx="8">
                  <c:v>0.46257253765678902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27-45FD-B030-9748508E91B4}"/>
            </c:ext>
          </c:extLst>
        </c:ser>
        <c:ser>
          <c:idx val="4"/>
          <c:order val="4"/>
          <c:tx>
            <c:v>Poli TI = 12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verifyPoli!$Q$41:$Q$47</c:f>
              <c:numCache>
                <c:formatCode>General</c:formatCode>
                <c:ptCount val="7"/>
                <c:pt idx="0">
                  <c:v>0.47121053665513002</c:v>
                </c:pt>
                <c:pt idx="1">
                  <c:v>0.471055323404309</c:v>
                </c:pt>
                <c:pt idx="2">
                  <c:v>0.469826841231412</c:v>
                </c:pt>
                <c:pt idx="3">
                  <c:v>0.46847802052781901</c:v>
                </c:pt>
                <c:pt idx="4">
                  <c:v>0.46754861624806898</c:v>
                </c:pt>
                <c:pt idx="5">
                  <c:v>0.465724491972133</c:v>
                </c:pt>
                <c:pt idx="6">
                  <c:v>0.46367589977865298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27-45FD-B030-9748508E91B4}"/>
            </c:ext>
          </c:extLst>
        </c:ser>
        <c:ser>
          <c:idx val="5"/>
          <c:order val="5"/>
          <c:tx>
            <c:v>Poli TI = 16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verifyPoli!$A$41:$A$47</c:f>
              <c:numCache>
                <c:formatCode>General</c:formatCode>
                <c:ptCount val="7"/>
                <c:pt idx="0">
                  <c:v>7.84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10.45</c:v>
                </c:pt>
                <c:pt idx="5">
                  <c:v>11</c:v>
                </c:pt>
                <c:pt idx="6">
                  <c:v>11.4</c:v>
                </c:pt>
              </c:numCache>
            </c:numRef>
          </c:xVal>
          <c:yVal>
            <c:numRef>
              <c:f>verifyPoli!$T$41:$T$47</c:f>
              <c:numCache>
                <c:formatCode>General</c:formatCode>
                <c:ptCount val="7"/>
                <c:pt idx="0">
                  <c:v>0.47100264798276797</c:v>
                </c:pt>
                <c:pt idx="1">
                  <c:v>0.47081375638439599</c:v>
                </c:pt>
                <c:pt idx="2">
                  <c:v>0.469498343848194</c:v>
                </c:pt>
                <c:pt idx="3">
                  <c:v>0.46843895117890799</c:v>
                </c:pt>
                <c:pt idx="4">
                  <c:v>0.46778947194870102</c:v>
                </c:pt>
                <c:pt idx="5">
                  <c:v>0.46642562424710099</c:v>
                </c:pt>
                <c:pt idx="6">
                  <c:v>0.46477926190051699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327-45FD-B030-9748508E9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2975480"/>
        <c:axId val="432975800"/>
      </c:scatterChart>
      <c:valAx>
        <c:axId val="432975480"/>
        <c:scaling>
          <c:orientation val="minMax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800"/>
        <c:crosses val="autoZero"/>
        <c:crossBetween val="midCat"/>
      </c:valAx>
      <c:valAx>
        <c:axId val="432975800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975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FASTnAT baseline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4450">
                <a:solidFill>
                  <a:schemeClr val="accent1"/>
                </a:solidFill>
              </a:ln>
              <a:effectLst/>
            </c:spPr>
          </c:marker>
          <c:xVal>
            <c:numRef>
              <c:f>compOptGebradd!$B$5:$B$9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compOptGebradd!$C$5:$C$9</c:f>
              <c:numCache>
                <c:formatCode>General</c:formatCode>
                <c:ptCount val="5"/>
                <c:pt idx="0">
                  <c:v>1.8556159028522901</c:v>
                </c:pt>
                <c:pt idx="1">
                  <c:v>0.91774235268904103</c:v>
                </c:pt>
                <c:pt idx="2">
                  <c:v>0.71470070088930504</c:v>
                </c:pt>
                <c:pt idx="3">
                  <c:v>0.65645493639253405</c:v>
                </c:pt>
                <c:pt idx="4">
                  <c:v>0.63807968558066608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B-4D26-8B03-0E6D9BEF4ED1}"/>
            </c:ext>
          </c:extLst>
        </c:ser>
        <c:ser>
          <c:idx val="2"/>
          <c:order val="1"/>
          <c:tx>
            <c:v>FLORIS baseline</c:v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44450">
                <a:solidFill>
                  <a:schemeClr val="accent6"/>
                </a:solidFill>
              </a:ln>
              <a:effectLst/>
            </c:spPr>
          </c:marker>
          <c:xVal>
            <c:numRef>
              <c:f>compOptGebradd!$B$5:$B$9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compOptGebradd!$E$5:$E$9</c:f>
              <c:numCache>
                <c:formatCode>General</c:formatCode>
                <c:ptCount val="5"/>
                <c:pt idx="0">
                  <c:v>1.8009999999999999</c:v>
                </c:pt>
                <c:pt idx="1">
                  <c:v>0.622</c:v>
                </c:pt>
                <c:pt idx="2">
                  <c:v>0.51800000000000002</c:v>
                </c:pt>
                <c:pt idx="3">
                  <c:v>0.505</c:v>
                </c:pt>
                <c:pt idx="4">
                  <c:v>0.505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CB-4D26-8B03-0E6D9BEF4ED1}"/>
            </c:ext>
          </c:extLst>
        </c:ser>
        <c:ser>
          <c:idx val="1"/>
          <c:order val="2"/>
          <c:tx>
            <c:v>FASTnAT optimised</c:v>
          </c:tx>
          <c:spPr>
            <a:ln w="381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44450">
                <a:solidFill>
                  <a:schemeClr val="accent1"/>
                </a:solidFill>
              </a:ln>
              <a:effectLst/>
            </c:spPr>
          </c:marker>
          <c:xVal>
            <c:numRef>
              <c:f>compOptGebradd!$B$5:$B$9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compOptGebradd!$D$5:$D$9</c:f>
              <c:numCache>
                <c:formatCode>General</c:formatCode>
                <c:ptCount val="5"/>
                <c:pt idx="0">
                  <c:v>1.8010977482444401</c:v>
                </c:pt>
                <c:pt idx="1">
                  <c:v>1.0131010128053801</c:v>
                </c:pt>
                <c:pt idx="2">
                  <c:v>0.85670654653141298</c:v>
                </c:pt>
                <c:pt idx="3">
                  <c:v>0.81876682645388499</c:v>
                </c:pt>
                <c:pt idx="4">
                  <c:v>0.80387616088661606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B-4D26-8B03-0E6D9BEF4ED1}"/>
            </c:ext>
          </c:extLst>
        </c:ser>
        <c:ser>
          <c:idx val="3"/>
          <c:order val="3"/>
          <c:tx>
            <c:v>FASTnAT optimised</c:v>
          </c:tx>
          <c:spPr>
            <a:ln w="3810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44450">
                <a:solidFill>
                  <a:schemeClr val="accent6"/>
                </a:solidFill>
              </a:ln>
              <a:effectLst/>
            </c:spPr>
          </c:marker>
          <c:xVal>
            <c:numRef>
              <c:f>compOptGebradd!$B$5:$B$9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compOptGebradd!$F$5:$F$9</c:f>
              <c:numCache>
                <c:formatCode>General</c:formatCode>
                <c:ptCount val="5"/>
                <c:pt idx="0">
                  <c:v>1.5669999999999999</c:v>
                </c:pt>
                <c:pt idx="1">
                  <c:v>0.72499999999999998</c:v>
                </c:pt>
                <c:pt idx="2">
                  <c:v>0.79</c:v>
                </c:pt>
                <c:pt idx="3">
                  <c:v>0.82899999999999996</c:v>
                </c:pt>
                <c:pt idx="4">
                  <c:v>0.97199999999999998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CB-4D26-8B03-0E6D9BEF4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064656"/>
        <c:axId val="521062416"/>
      </c:scatterChart>
      <c:valAx>
        <c:axId val="521064656"/>
        <c:scaling>
          <c:orientation val="minMax"/>
          <c:max val="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>
                    <a:solidFill>
                      <a:sysClr val="windowText" lastClr="000000"/>
                    </a:solidFill>
                  </a:rPr>
                  <a:t>Turbine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62416"/>
        <c:crosses val="autoZero"/>
        <c:crossBetween val="midCat"/>
        <c:majorUnit val="1"/>
      </c:valAx>
      <c:valAx>
        <c:axId val="52106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 Power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[MW]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064656"/>
        <c:crosses val="autoZero"/>
        <c:crossBetween val="midCat"/>
        <c:majorUnit val="0.4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FASTnAT optimised</c:v>
          </c:tx>
          <c:spPr>
            <a:solidFill>
              <a:schemeClr val="accent1"/>
            </a:solidFill>
            <a:ln w="6350">
              <a:solidFill>
                <a:schemeClr val="accent6"/>
              </a:solidFill>
            </a:ln>
            <a:effectLst/>
          </c:spPr>
          <c:invertIfNegative val="0"/>
          <c:val>
            <c:numRef>
              <c:f>compOptGebradd!$C$10</c:f>
              <c:numCache>
                <c:formatCode>General</c:formatCode>
                <c:ptCount val="1"/>
                <c:pt idx="0">
                  <c:v>4.7825935784038354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2-467B-B1EB-CF8E37BC7345}"/>
            </c:ext>
          </c:extLst>
        </c:ser>
        <c:ser>
          <c:idx val="1"/>
          <c:order val="1"/>
          <c:tx>
            <c:v>FASTnAT optimised</c:v>
          </c:tx>
          <c:spPr>
            <a:pattFill prst="wdUpDiag">
              <a:fgClr>
                <a:schemeClr val="accent1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compOptGebradd!$D$10</c:f>
              <c:numCache>
                <c:formatCode>General</c:formatCode>
                <c:ptCount val="1"/>
                <c:pt idx="0">
                  <c:v>5.2935482949217336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2-467B-B1EB-CF8E37BC7345}"/>
            </c:ext>
          </c:extLst>
        </c:ser>
        <c:ser>
          <c:idx val="2"/>
          <c:order val="2"/>
          <c:tx>
            <c:v>FLORIS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compOptGebradd!$E$10</c:f>
              <c:numCache>
                <c:formatCode>General</c:formatCode>
                <c:ptCount val="1"/>
                <c:pt idx="0">
                  <c:v>3.9119999999999999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2-467B-B1EB-CF8E37BC7345}"/>
            </c:ext>
          </c:extLst>
        </c:ser>
        <c:ser>
          <c:idx val="3"/>
          <c:order val="3"/>
          <c:tx>
            <c:v>FLORIS optimised</c:v>
          </c:tx>
          <c:spPr>
            <a:pattFill prst="wdUpDiag">
              <a:fgClr>
                <a:schemeClr val="accent6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val>
            <c:numRef>
              <c:f>compOptGebradd!$F$10</c:f>
              <c:numCache>
                <c:formatCode>General</c:formatCode>
                <c:ptCount val="1"/>
                <c:pt idx="0">
                  <c:v>4.883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2-467B-B1EB-CF8E37BC7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8678904"/>
        <c:axId val="468681144"/>
      </c:barChart>
      <c:catAx>
        <c:axId val="468678904"/>
        <c:scaling>
          <c:orientation val="minMax"/>
        </c:scaling>
        <c:delete val="1"/>
        <c:axPos val="b"/>
        <c:majorTickMark val="none"/>
        <c:minorTickMark val="none"/>
        <c:tickLblPos val="nextTo"/>
        <c:crossAx val="468681144"/>
        <c:crosses val="autoZero"/>
        <c:auto val="1"/>
        <c:lblAlgn val="ctr"/>
        <c:lblOffset val="100"/>
        <c:noMultiLvlLbl val="0"/>
      </c:catAx>
      <c:valAx>
        <c:axId val="46868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>
                    <a:solidFill>
                      <a:sysClr val="windowText" lastClr="000000"/>
                    </a:solidFill>
                  </a:rPr>
                  <a:t>Power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67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1"/>
          <c:tx>
            <c:v>Thrust coefficient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44450">
                <a:solidFill>
                  <a:srgbClr val="FF0000"/>
                </a:solidFill>
              </a:ln>
              <a:effectLst/>
            </c:spPr>
          </c:marker>
          <c:cat>
            <c:numRef>
              <c:f>FAST10ATCtU!$B$5:$B$14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FAST10ATCtU!$D$5:$D$14</c:f>
              <c:numCache>
                <c:formatCode>General</c:formatCode>
                <c:ptCount val="10"/>
                <c:pt idx="0">
                  <c:v>0.77315300204195503</c:v>
                </c:pt>
                <c:pt idx="1">
                  <c:v>0.81470379225109002</c:v>
                </c:pt>
                <c:pt idx="2">
                  <c:v>0.82737163885901499</c:v>
                </c:pt>
                <c:pt idx="3">
                  <c:v>0.830530057232446</c:v>
                </c:pt>
                <c:pt idx="4">
                  <c:v>0.83126807411625203</c:v>
                </c:pt>
                <c:pt idx="5">
                  <c:v>0.831440084447851</c:v>
                </c:pt>
                <c:pt idx="6">
                  <c:v>0.83148140059931397</c:v>
                </c:pt>
                <c:pt idx="7">
                  <c:v>0.83149062454432898</c:v>
                </c:pt>
                <c:pt idx="8">
                  <c:v>0.83149282465894303</c:v>
                </c:pt>
                <c:pt idx="9">
                  <c:v>0.83149308952915602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A0-489F-BE55-602FE0D2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3159120"/>
        <c:axId val="533155920"/>
      </c:lineChart>
      <c:scatterChart>
        <c:scatterStyle val="lineMarker"/>
        <c:varyColors val="0"/>
        <c:ser>
          <c:idx val="0"/>
          <c:order val="0"/>
          <c:tx>
            <c:v>Wind speed at turbine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4450">
                <a:solidFill>
                  <a:schemeClr val="accent1"/>
                </a:solidFill>
              </a:ln>
              <a:effectLst/>
            </c:spPr>
          </c:marker>
          <c:xVal>
            <c:numRef>
              <c:f>FAST10ATCtU!$B$5:$B$14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xVal>
          <c:yVal>
            <c:numRef>
              <c:f>FAST10ATCtU!$C$5:$C$14</c:f>
              <c:numCache>
                <c:formatCode>General</c:formatCode>
                <c:ptCount val="10"/>
                <c:pt idx="0">
                  <c:v>8</c:v>
                </c:pt>
                <c:pt idx="1">
                  <c:v>6.7678780082193901</c:v>
                </c:pt>
                <c:pt idx="2">
                  <c:v>6.49380858657549</c:v>
                </c:pt>
                <c:pt idx="3">
                  <c:v>6.4299350750433097</c:v>
                </c:pt>
                <c:pt idx="4">
                  <c:v>6.4152202865608201</c:v>
                </c:pt>
                <c:pt idx="5">
                  <c:v>6.41180371542419</c:v>
                </c:pt>
                <c:pt idx="6">
                  <c:v>6.4109850197613998</c:v>
                </c:pt>
                <c:pt idx="7">
                  <c:v>6.4108016451224099</c:v>
                </c:pt>
                <c:pt idx="8">
                  <c:v>6.4107580423153001</c:v>
                </c:pt>
                <c:pt idx="9">
                  <c:v>6.4107525501072598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0-489F-BE55-602FE0D2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78320"/>
        <c:axId val="533178000"/>
      </c:scatterChart>
      <c:catAx>
        <c:axId val="53315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Turbine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55920"/>
        <c:crosses val="autoZero"/>
        <c:auto val="1"/>
        <c:lblAlgn val="ctr"/>
        <c:lblOffset val="100"/>
        <c:tickMarkSkip val="1"/>
        <c:noMultiLvlLbl val="0"/>
      </c:catAx>
      <c:valAx>
        <c:axId val="533155920"/>
        <c:scaling>
          <c:orientation val="minMax"/>
          <c:max val="0.85000000000000009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Thrust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coefficient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59120"/>
        <c:crosses val="autoZero"/>
        <c:crossBetween val="between"/>
        <c:majorUnit val="2.0000000000000004E-2"/>
      </c:valAx>
      <c:valAx>
        <c:axId val="533178000"/>
        <c:scaling>
          <c:orientation val="minMax"/>
          <c:max val="8"/>
          <c:min val="5.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>
                    <a:solidFill>
                      <a:sysClr val="windowText" lastClr="000000"/>
                    </a:solidFill>
                  </a:rPr>
                  <a:t>Wind</a:t>
                </a:r>
                <a:r>
                  <a:rPr lang="en-GB" sz="1200" baseline="0">
                    <a:solidFill>
                      <a:sysClr val="windowText" lastClr="000000"/>
                    </a:solidFill>
                  </a:rPr>
                  <a:t> speed [m/s]</a:t>
                </a:r>
                <a:endParaRPr lang="en-GB" sz="12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178320"/>
        <c:crosses val="max"/>
        <c:crossBetween val="midCat"/>
      </c:valAx>
      <c:valAx>
        <c:axId val="533178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317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273464</xdr:colOff>
      <xdr:row>2</xdr:row>
      <xdr:rowOff>102550</xdr:rowOff>
    </xdr:from>
    <xdr:to>
      <xdr:col>18</xdr:col>
      <xdr:colOff>606751</xdr:colOff>
      <xdr:row>28</xdr:row>
      <xdr:rowOff>59822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1500E-9D96-49FE-921B-3F464C5D2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615297</xdr:colOff>
      <xdr:row>36</xdr:row>
      <xdr:rowOff>34181</xdr:rowOff>
    </xdr:from>
    <xdr:to>
      <xdr:col>20</xdr:col>
      <xdr:colOff>606752</xdr:colOff>
      <xdr:row>65</xdr:row>
      <xdr:rowOff>51275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895C13-715F-4EEB-B42E-CB66BD4C3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401653</xdr:colOff>
      <xdr:row>0</xdr:row>
      <xdr:rowOff>0</xdr:rowOff>
    </xdr:from>
    <xdr:to>
      <xdr:col>27</xdr:col>
      <xdr:colOff>162370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57721-AD0E-4C1A-B891-7E0E573EC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136733</xdr:colOff>
      <xdr:row>19</xdr:row>
      <xdr:rowOff>68367</xdr:rowOff>
    </xdr:from>
    <xdr:to>
      <xdr:col>12</xdr:col>
      <xdr:colOff>273466</xdr:colOff>
      <xdr:row>40</xdr:row>
      <xdr:rowOff>25638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6E2FEB-ED9F-42D3-A6E7-7B115A2DE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43</xdr:row>
      <xdr:rowOff>0</xdr:rowOff>
    </xdr:from>
    <xdr:to>
      <xdr:col>12</xdr:col>
      <xdr:colOff>136733</xdr:colOff>
      <xdr:row>63</xdr:row>
      <xdr:rowOff>136732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AB4D50-8912-46CF-8103-FEBDE1194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111094</xdr:colOff>
      <xdr:row>10</xdr:row>
      <xdr:rowOff>102548</xdr:rowOff>
    </xdr:from>
    <xdr:to>
      <xdr:col>24</xdr:col>
      <xdr:colOff>299103</xdr:colOff>
      <xdr:row>41</xdr:row>
      <xdr:rowOff>85458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70D24-07A5-421C-BDA5-E2A6D9098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495656</xdr:colOff>
      <xdr:row>3</xdr:row>
      <xdr:rowOff>17091</xdr:rowOff>
    </xdr:from>
    <xdr:to>
      <xdr:col>18</xdr:col>
      <xdr:colOff>487110</xdr:colOff>
      <xdr:row>25</xdr:row>
      <xdr:rowOff>17092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0CBDEF-4659-43D0-A482-AE0DA0177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85456</xdr:colOff>
      <xdr:row>1</xdr:row>
      <xdr:rowOff>25636</xdr:rowOff>
    </xdr:from>
    <xdr:to>
      <xdr:col>27</xdr:col>
      <xdr:colOff>350376</xdr:colOff>
      <xdr:row>16</xdr:row>
      <xdr:rowOff>76911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E532AE-74F3-453E-BCE4-5C23D2EC5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401653</xdr:colOff>
      <xdr:row>1</xdr:row>
      <xdr:rowOff>8546</xdr:rowOff>
    </xdr:from>
    <xdr:to>
      <xdr:col>37</xdr:col>
      <xdr:colOff>51275</xdr:colOff>
      <xdr:row>16</xdr:row>
      <xdr:rowOff>59821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177890-906A-45C3-9766-6D0F45379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136732</xdr:colOff>
      <xdr:row>1</xdr:row>
      <xdr:rowOff>25636</xdr:rowOff>
    </xdr:from>
    <xdr:to>
      <xdr:col>47</xdr:col>
      <xdr:colOff>598206</xdr:colOff>
      <xdr:row>16</xdr:row>
      <xdr:rowOff>76911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879B6F-E5A3-43F9-8F42-1F0A74DDE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213645</xdr:colOff>
      <xdr:row>17</xdr:row>
      <xdr:rowOff>111094</xdr:rowOff>
    </xdr:from>
    <xdr:to>
      <xdr:col>27</xdr:col>
      <xdr:colOff>478565</xdr:colOff>
      <xdr:row>32</xdr:row>
      <xdr:rowOff>162369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17067AD-8B31-4054-B591-C9D314EB2B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581115</xdr:colOff>
      <xdr:row>17</xdr:row>
      <xdr:rowOff>128186</xdr:rowOff>
    </xdr:from>
    <xdr:to>
      <xdr:col>37</xdr:col>
      <xdr:colOff>230737</xdr:colOff>
      <xdr:row>32</xdr:row>
      <xdr:rowOff>179461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EE899F-2F15-4F1E-A21F-A84C19B77E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333286</xdr:colOff>
      <xdr:row>17</xdr:row>
      <xdr:rowOff>68366</xdr:rowOff>
    </xdr:from>
    <xdr:to>
      <xdr:col>48</xdr:col>
      <xdr:colOff>17092</xdr:colOff>
      <xdr:row>32</xdr:row>
      <xdr:rowOff>119641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6934AF0-C72A-4464-BE07-02925E0C6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196552</xdr:colOff>
      <xdr:row>33</xdr:row>
      <xdr:rowOff>153823</xdr:rowOff>
    </xdr:from>
    <xdr:to>
      <xdr:col>28</xdr:col>
      <xdr:colOff>128186</xdr:colOff>
      <xdr:row>49</xdr:row>
      <xdr:rowOff>25637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5348208-0623-4F21-9000-C3839515A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179462</xdr:colOff>
      <xdr:row>33</xdr:row>
      <xdr:rowOff>162370</xdr:rowOff>
    </xdr:from>
    <xdr:to>
      <xdr:col>37</xdr:col>
      <xdr:colOff>444381</xdr:colOff>
      <xdr:row>49</xdr:row>
      <xdr:rowOff>34184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03F4B2F-9AF0-42B9-BAD1-2E3EA0BDAF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0</xdr:colOff>
      <xdr:row>34</xdr:row>
      <xdr:rowOff>0</xdr:rowOff>
    </xdr:from>
    <xdr:to>
      <xdr:col>48</xdr:col>
      <xdr:colOff>299103</xdr:colOff>
      <xdr:row>49</xdr:row>
      <xdr:rowOff>51275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8D18D3F-0B22-45FB-96CF-94247D46D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128184</xdr:colOff>
      <xdr:row>5</xdr:row>
      <xdr:rowOff>51275</xdr:rowOff>
    </xdr:from>
    <xdr:to>
      <xdr:col>13</xdr:col>
      <xdr:colOff>606751</xdr:colOff>
      <xdr:row>27</xdr:row>
      <xdr:rowOff>170916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D3C599-0065-49B7-887C-2285CC2D44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8546</xdr:colOff>
      <xdr:row>5</xdr:row>
      <xdr:rowOff>17093</xdr:rowOff>
    </xdr:from>
    <xdr:to>
      <xdr:col>19</xdr:col>
      <xdr:colOff>136732</xdr:colOff>
      <xdr:row>27</xdr:row>
      <xdr:rowOff>136734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9FF1E62-1989-41A0-B7C9-0115EF4CC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25638</xdr:colOff>
      <xdr:row>3</xdr:row>
      <xdr:rowOff>145278</xdr:rowOff>
    </xdr:from>
    <xdr:to>
      <xdr:col>17</xdr:col>
      <xdr:colOff>59821</xdr:colOff>
      <xdr:row>30</xdr:row>
      <xdr:rowOff>76913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BF558-837D-41ED-9243-A2D49FCA6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F4E33-2105-4903-93AB-990BBB088814}">
  <dimension ref="A1:O39"/>
  <sheetViews>
    <sheetView topLeftCell="B1" workbookViewId="0">
      <selection activeCell="I20" sqref="I20"/>
    </sheetView>
  </sheetViews>
  <sheetFormatPr defaultRowHeight="14.15" x14ac:dyDescent="0.25"/>
  <cols>
    <col min="1" max="1" width="9.25" customWidth="1"/>
    <col min="5" max="5" width="10" customWidth="1"/>
    <col min="11" max="11" width="9" customWidth="1"/>
  </cols>
  <sheetData>
    <row r="1" spans="1:15" x14ac:dyDescent="0.25">
      <c r="G1" s="11"/>
      <c r="H1" s="5"/>
      <c r="I1" s="5"/>
      <c r="J1" s="5"/>
      <c r="K1" s="5"/>
    </row>
    <row r="2" spans="1:15" x14ac:dyDescent="0.25">
      <c r="G2" s="11"/>
      <c r="H2" s="5"/>
      <c r="I2" s="7"/>
      <c r="J2" s="7"/>
      <c r="K2" s="7"/>
      <c r="L2" s="7"/>
      <c r="M2" s="7"/>
      <c r="N2" s="7"/>
      <c r="O2" s="7"/>
    </row>
    <row r="3" spans="1:15" x14ac:dyDescent="0.25">
      <c r="C3" t="s">
        <v>0</v>
      </c>
      <c r="D3" t="s">
        <v>1</v>
      </c>
      <c r="E3" t="s">
        <v>6</v>
      </c>
      <c r="G3" s="11"/>
      <c r="H3" s="5"/>
      <c r="I3" s="5"/>
      <c r="J3" s="5"/>
      <c r="K3" s="5"/>
    </row>
    <row r="4" spans="1:15" x14ac:dyDescent="0.25">
      <c r="A4" t="s">
        <v>2</v>
      </c>
      <c r="B4" t="s">
        <v>3</v>
      </c>
      <c r="C4">
        <v>0.48060000000000003</v>
      </c>
      <c r="D4">
        <v>0.47970000000000002</v>
      </c>
      <c r="E4" s="1">
        <f>((D4-C4)/C4)*100</f>
        <v>-0.18726591760299874</v>
      </c>
      <c r="G4" s="11"/>
      <c r="H4" s="5"/>
      <c r="I4" s="5" t="s">
        <v>42</v>
      </c>
      <c r="J4" s="5" t="s">
        <v>53</v>
      </c>
      <c r="K4" s="5"/>
    </row>
    <row r="5" spans="1:15" x14ac:dyDescent="0.25">
      <c r="B5" t="s">
        <v>4</v>
      </c>
      <c r="C5">
        <v>2.1499999999999998E-2</v>
      </c>
      <c r="D5">
        <v>2.1499999999999998E-2</v>
      </c>
      <c r="E5" s="1">
        <f t="shared" ref="E5:E15" si="0">((D5-C5)/C5)*100</f>
        <v>0</v>
      </c>
      <c r="G5" s="11"/>
      <c r="I5" s="5">
        <v>10526.814050929253</v>
      </c>
      <c r="J5" s="5">
        <v>10704</v>
      </c>
      <c r="K5" s="5"/>
    </row>
    <row r="6" spans="1:15" x14ac:dyDescent="0.25">
      <c r="B6" t="s">
        <v>5</v>
      </c>
      <c r="C6">
        <v>0.14660000000000001</v>
      </c>
      <c r="D6">
        <v>0.15709999999999999</v>
      </c>
      <c r="E6" s="1">
        <f t="shared" si="0"/>
        <v>7.1623465211459623</v>
      </c>
      <c r="G6" s="11"/>
      <c r="J6" s="5"/>
      <c r="K6" s="5"/>
    </row>
    <row r="7" spans="1:15" x14ac:dyDescent="0.25">
      <c r="A7" t="s">
        <v>7</v>
      </c>
      <c r="B7" t="s">
        <v>3</v>
      </c>
      <c r="C7">
        <v>0.76749999999999996</v>
      </c>
      <c r="D7">
        <v>0.77210000000000001</v>
      </c>
      <c r="E7" s="1">
        <f t="shared" si="0"/>
        <v>0.59934853420196077</v>
      </c>
      <c r="G7" s="11"/>
      <c r="H7" s="5"/>
      <c r="I7" s="5"/>
      <c r="J7" s="5"/>
      <c r="K7" s="5"/>
    </row>
    <row r="8" spans="1:15" x14ac:dyDescent="0.25">
      <c r="B8" t="s">
        <v>4</v>
      </c>
      <c r="C8">
        <v>2.2599999999999999E-2</v>
      </c>
      <c r="D8">
        <v>2.92E-2</v>
      </c>
      <c r="E8" s="1">
        <f t="shared" si="0"/>
        <v>29.20353982300886</v>
      </c>
      <c r="G8" s="11"/>
      <c r="H8" s="5"/>
      <c r="I8" s="5" t="s">
        <v>42</v>
      </c>
      <c r="J8" s="5" t="s">
        <v>52</v>
      </c>
      <c r="K8" s="5"/>
    </row>
    <row r="9" spans="1:15" x14ac:dyDescent="0.25">
      <c r="B9" t="s">
        <v>5</v>
      </c>
      <c r="C9">
        <v>0.1515</v>
      </c>
      <c r="D9">
        <v>0.18049999999999999</v>
      </c>
      <c r="E9" s="1">
        <f t="shared" si="0"/>
        <v>19.14191419141914</v>
      </c>
      <c r="G9" s="11"/>
      <c r="H9" s="5"/>
      <c r="I9" s="5">
        <v>667.96746455767698</v>
      </c>
      <c r="J9" s="5"/>
      <c r="K9" s="5"/>
    </row>
    <row r="10" spans="1:15" x14ac:dyDescent="0.25">
      <c r="A10" t="s">
        <v>8</v>
      </c>
      <c r="B10" t="s">
        <v>3</v>
      </c>
      <c r="C10">
        <v>7.6210000000000004</v>
      </c>
      <c r="D10">
        <v>7.7089999999999996</v>
      </c>
      <c r="E10" s="1">
        <f t="shared" si="0"/>
        <v>1.1547041070725521</v>
      </c>
      <c r="G10" s="11"/>
      <c r="H10" s="5"/>
      <c r="I10" s="5">
        <v>717.73355348852294</v>
      </c>
      <c r="J10" s="5"/>
      <c r="K10" s="5"/>
    </row>
    <row r="11" spans="1:15" x14ac:dyDescent="0.25">
      <c r="B11" t="s">
        <v>4</v>
      </c>
      <c r="C11">
        <v>0.22450000000000001</v>
      </c>
      <c r="D11">
        <v>0.42870000000000003</v>
      </c>
      <c r="E11" s="1">
        <f t="shared" si="0"/>
        <v>90.957683741648111</v>
      </c>
      <c r="G11" s="11"/>
      <c r="H11" s="5"/>
      <c r="I11" s="5">
        <v>714.82841221831097</v>
      </c>
      <c r="J11" s="5"/>
      <c r="K11" s="5"/>
    </row>
    <row r="12" spans="1:15" x14ac:dyDescent="0.25">
      <c r="B12" t="s">
        <v>5</v>
      </c>
      <c r="C12">
        <v>1.3140000000000001</v>
      </c>
      <c r="D12">
        <v>2.1139999999999999</v>
      </c>
      <c r="E12" s="1">
        <f t="shared" si="0"/>
        <v>60.882800608827992</v>
      </c>
      <c r="G12" s="11"/>
      <c r="H12" s="5"/>
      <c r="I12" s="5">
        <v>716.85881172885502</v>
      </c>
      <c r="J12" s="5"/>
      <c r="K12" s="5"/>
    </row>
    <row r="13" spans="1:15" x14ac:dyDescent="0.25">
      <c r="A13" t="s">
        <v>9</v>
      </c>
      <c r="B13" t="s">
        <v>3</v>
      </c>
      <c r="C13">
        <v>6105</v>
      </c>
      <c r="D13">
        <v>6129</v>
      </c>
      <c r="E13" s="1">
        <f t="shared" si="0"/>
        <v>0.3931203931203931</v>
      </c>
      <c r="G13" s="11"/>
      <c r="H13" s="5"/>
      <c r="I13" s="5">
        <v>716.83053052508296</v>
      </c>
      <c r="J13" s="5"/>
      <c r="K13" s="5"/>
    </row>
    <row r="14" spans="1:15" x14ac:dyDescent="0.25">
      <c r="B14" t="s">
        <v>4</v>
      </c>
      <c r="C14">
        <v>805.7</v>
      </c>
      <c r="D14">
        <v>744.6</v>
      </c>
      <c r="E14" s="1">
        <f t="shared" si="0"/>
        <v>-7.5834677919821294</v>
      </c>
      <c r="G14" s="11"/>
      <c r="H14" s="5"/>
      <c r="I14" s="5">
        <v>717.10455737176005</v>
      </c>
      <c r="J14" s="5"/>
      <c r="K14" s="5"/>
    </row>
    <row r="15" spans="1:15" x14ac:dyDescent="0.25">
      <c r="B15" t="s">
        <v>5</v>
      </c>
      <c r="C15">
        <v>5003</v>
      </c>
      <c r="D15">
        <v>4653</v>
      </c>
      <c r="E15" s="1">
        <f t="shared" si="0"/>
        <v>-6.9958025184889072</v>
      </c>
      <c r="G15" s="11"/>
      <c r="H15" s="5"/>
      <c r="I15" s="7">
        <v>717.19059951208396</v>
      </c>
      <c r="J15" s="7"/>
      <c r="K15" s="7"/>
      <c r="M15" s="8"/>
      <c r="N15" s="8"/>
      <c r="O15" s="8"/>
    </row>
    <row r="16" spans="1:15" x14ac:dyDescent="0.25">
      <c r="A16" s="2"/>
      <c r="B16" s="2"/>
      <c r="C16" s="2"/>
      <c r="D16" s="2"/>
      <c r="E16" s="2"/>
      <c r="G16" s="11"/>
      <c r="H16" s="5"/>
      <c r="I16" s="5">
        <v>717.20764795889704</v>
      </c>
      <c r="J16" s="5"/>
      <c r="K16" s="5"/>
    </row>
    <row r="17" spans="1:11" x14ac:dyDescent="0.25">
      <c r="A17" t="s">
        <v>14</v>
      </c>
      <c r="G17" s="11"/>
      <c r="H17" s="5"/>
      <c r="I17" s="5">
        <v>717.21083452507901</v>
      </c>
      <c r="J17" s="5"/>
      <c r="K17" s="5"/>
    </row>
    <row r="18" spans="1:11" x14ac:dyDescent="0.25">
      <c r="A18" t="s">
        <v>10</v>
      </c>
      <c r="B18" t="s">
        <v>11</v>
      </c>
      <c r="C18" t="s">
        <v>12</v>
      </c>
      <c r="E18" t="s">
        <v>17</v>
      </c>
      <c r="F18">
        <v>10259.1532001537</v>
      </c>
      <c r="G18" s="11"/>
      <c r="H18" s="5"/>
      <c r="I18" s="5">
        <v>717.21083452507901</v>
      </c>
      <c r="J18" s="5"/>
      <c r="K18" s="5"/>
    </row>
    <row r="19" spans="1:11" x14ac:dyDescent="0.25">
      <c r="A19">
        <v>10</v>
      </c>
      <c r="B19">
        <v>211.45851253616499</v>
      </c>
      <c r="C19">
        <v>151.17344013171601</v>
      </c>
      <c r="E19" t="s">
        <v>16</v>
      </c>
      <c r="G19" s="11">
        <f>((F18-F20)/F18)*100</f>
        <v>29.759956941234179</v>
      </c>
      <c r="H19" s="5" t="s">
        <v>54</v>
      </c>
      <c r="I19" s="5">
        <f>SQRT(SUMSQ(I9:I18))</f>
        <v>2252.0668477455342</v>
      </c>
      <c r="J19" s="12">
        <v>2273.8000000000002</v>
      </c>
      <c r="K19" s="5"/>
    </row>
    <row r="20" spans="1:11" x14ac:dyDescent="0.25">
      <c r="A20">
        <v>12</v>
      </c>
      <c r="B20">
        <v>252.02838855142801</v>
      </c>
      <c r="C20">
        <v>180.96477786729801</v>
      </c>
      <c r="E20" t="s">
        <v>18</v>
      </c>
      <c r="F20">
        <v>7206.0336252527104</v>
      </c>
      <c r="G20" s="11"/>
      <c r="H20" s="5"/>
      <c r="I20" s="5"/>
      <c r="J20" s="5"/>
      <c r="K20" s="5"/>
    </row>
    <row r="21" spans="1:11" x14ac:dyDescent="0.25">
      <c r="A21" t="s">
        <v>13</v>
      </c>
      <c r="B21">
        <f>ABS((B19-B20)/B19)*100</f>
        <v>19.185737915528229</v>
      </c>
      <c r="C21">
        <f>ABS((C19-C20)/C19)*100</f>
        <v>19.706727391812404</v>
      </c>
      <c r="E21" t="s">
        <v>16</v>
      </c>
      <c r="G21" s="11"/>
      <c r="H21" s="5"/>
      <c r="I21" s="5"/>
      <c r="J21" s="5"/>
      <c r="K21" s="5"/>
    </row>
    <row r="22" spans="1:11" x14ac:dyDescent="0.25">
      <c r="A22" t="s">
        <v>15</v>
      </c>
      <c r="B22">
        <v>428.67756477512501</v>
      </c>
      <c r="C22">
        <v>309.30145170981001</v>
      </c>
      <c r="G22" s="11"/>
      <c r="H22" s="5"/>
      <c r="I22" s="5"/>
      <c r="J22" s="5"/>
      <c r="K22" s="5"/>
    </row>
    <row r="23" spans="1:11" x14ac:dyDescent="0.25">
      <c r="G23" s="11"/>
      <c r="H23" s="5"/>
      <c r="I23" s="5"/>
      <c r="J23" s="5"/>
      <c r="K23" s="5"/>
    </row>
    <row r="24" spans="1:11" x14ac:dyDescent="0.25">
      <c r="A24" t="s">
        <v>14</v>
      </c>
      <c r="G24" s="11"/>
      <c r="H24" s="5"/>
      <c r="I24" s="5"/>
      <c r="J24" s="5"/>
      <c r="K24" s="5"/>
    </row>
    <row r="25" spans="1:11" x14ac:dyDescent="0.25">
      <c r="A25" t="s">
        <v>10</v>
      </c>
      <c r="B25" t="s">
        <v>19</v>
      </c>
      <c r="C25" t="s">
        <v>20</v>
      </c>
      <c r="G25" s="11"/>
      <c r="H25" s="5"/>
      <c r="I25" s="5"/>
      <c r="J25" s="5"/>
      <c r="K25" s="5"/>
    </row>
    <row r="26" spans="1:11" x14ac:dyDescent="0.25">
      <c r="A26">
        <v>10</v>
      </c>
      <c r="B26">
        <v>1101.45690994547</v>
      </c>
      <c r="C26">
        <v>1008.39185114427</v>
      </c>
      <c r="G26" s="11"/>
      <c r="H26" s="5"/>
      <c r="I26" s="5"/>
      <c r="J26" s="5"/>
      <c r="K26" s="5"/>
    </row>
    <row r="27" spans="1:11" x14ac:dyDescent="0.25">
      <c r="A27">
        <v>12</v>
      </c>
      <c r="B27">
        <v>1212.63130687333</v>
      </c>
      <c r="C27">
        <v>1100.2363492383899</v>
      </c>
      <c r="G27" s="11"/>
      <c r="H27" s="5"/>
      <c r="I27" s="5"/>
      <c r="J27" s="5"/>
      <c r="K27" s="5"/>
    </row>
    <row r="28" spans="1:11" x14ac:dyDescent="0.25">
      <c r="A28" t="s">
        <v>13</v>
      </c>
      <c r="B28">
        <f>ABS((B26-B27)/B26)*100</f>
        <v>10.093395022903252</v>
      </c>
      <c r="C28">
        <f>ABS((C26-C27)/C26)*100</f>
        <v>9.108016689137223</v>
      </c>
      <c r="G28" s="11"/>
      <c r="H28" s="5"/>
      <c r="I28" s="5"/>
      <c r="J28" s="5"/>
      <c r="K28" s="5"/>
    </row>
    <row r="29" spans="1:11" x14ac:dyDescent="0.25">
      <c r="A29" t="s">
        <v>15</v>
      </c>
      <c r="B29">
        <v>1745.1161956963499</v>
      </c>
      <c r="C29">
        <v>1587.9480298286801</v>
      </c>
      <c r="G29" s="11"/>
      <c r="H29" s="5"/>
      <c r="I29" s="5"/>
      <c r="J29" s="5"/>
      <c r="K29" s="5"/>
    </row>
    <row r="30" spans="1:11" x14ac:dyDescent="0.25">
      <c r="G30" s="11"/>
      <c r="H30" s="7"/>
      <c r="I30" s="7"/>
      <c r="J30" s="7"/>
      <c r="K30" s="6"/>
    </row>
    <row r="31" spans="1:11" x14ac:dyDescent="0.25">
      <c r="G31" s="11"/>
      <c r="H31" s="5"/>
      <c r="I31" s="5"/>
      <c r="J31" s="5"/>
      <c r="K31" s="5"/>
    </row>
    <row r="32" spans="1:11" x14ac:dyDescent="0.25">
      <c r="G32" s="11"/>
      <c r="H32" s="5"/>
      <c r="I32" s="5"/>
      <c r="J32" s="5"/>
      <c r="K32" s="5"/>
    </row>
    <row r="33" spans="7:11" x14ac:dyDescent="0.25">
      <c r="G33" s="11"/>
      <c r="H33" s="5"/>
      <c r="I33" s="5"/>
      <c r="J33" s="5"/>
      <c r="K33" s="5"/>
    </row>
    <row r="34" spans="7:11" x14ac:dyDescent="0.25">
      <c r="G34" s="11"/>
      <c r="H34" s="5"/>
      <c r="I34" s="5"/>
      <c r="J34" s="5"/>
      <c r="K34" s="5"/>
    </row>
    <row r="35" spans="7:11" x14ac:dyDescent="0.25">
      <c r="G35" s="11"/>
      <c r="H35" s="5"/>
      <c r="I35" s="5"/>
      <c r="J35" s="5"/>
      <c r="K35" s="5"/>
    </row>
    <row r="36" spans="7:11" x14ac:dyDescent="0.25">
      <c r="H36" s="5"/>
      <c r="I36" s="5"/>
      <c r="J36" s="5"/>
      <c r="K36" s="5"/>
    </row>
    <row r="37" spans="7:11" x14ac:dyDescent="0.25">
      <c r="H37" s="5"/>
      <c r="I37" s="5"/>
      <c r="J37" s="5"/>
      <c r="K37" s="5"/>
    </row>
    <row r="38" spans="7:11" x14ac:dyDescent="0.25">
      <c r="H38" s="5"/>
      <c r="I38" s="5"/>
      <c r="J38" s="5"/>
      <c r="K38" s="5"/>
    </row>
    <row r="39" spans="7:11" x14ac:dyDescent="0.25">
      <c r="H39" s="5"/>
      <c r="I39" s="5"/>
      <c r="J39" s="5"/>
      <c r="K39" s="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FA44-2D6E-4572-8B81-24384F7E9363}">
  <dimension ref="B5:D26"/>
  <sheetViews>
    <sheetView workbookViewId="0">
      <selection activeCell="V13" sqref="V13"/>
    </sheetView>
  </sheetViews>
  <sheetFormatPr defaultRowHeight="14.15" x14ac:dyDescent="0.25"/>
  <sheetData>
    <row r="5" spans="2:4" x14ac:dyDescent="0.25">
      <c r="B5" t="s">
        <v>21</v>
      </c>
      <c r="C5" t="s">
        <v>2</v>
      </c>
      <c r="D5" t="s">
        <v>7</v>
      </c>
    </row>
    <row r="6" spans="2:4" x14ac:dyDescent="0.25">
      <c r="B6">
        <v>0</v>
      </c>
      <c r="C6">
        <f>4*B6*((1-B6)^2)</f>
        <v>0</v>
      </c>
      <c r="D6">
        <f>4*B6*(1-B6)</f>
        <v>0</v>
      </c>
    </row>
    <row r="7" spans="2:4" x14ac:dyDescent="0.25">
      <c r="B7">
        <f>B6+0.05</f>
        <v>0.05</v>
      </c>
      <c r="C7">
        <f t="shared" ref="C7:C26" si="0">4*B7*((1-B7)^2)</f>
        <v>0.18049999999999999</v>
      </c>
      <c r="D7">
        <f t="shared" ref="D7:D26" si="1">4*B7*(1-B7)</f>
        <v>0.19</v>
      </c>
    </row>
    <row r="8" spans="2:4" x14ac:dyDescent="0.25">
      <c r="B8">
        <f t="shared" ref="B8:B26" si="2">B7+0.05</f>
        <v>0.1</v>
      </c>
      <c r="C8">
        <f t="shared" si="0"/>
        <v>0.32400000000000007</v>
      </c>
      <c r="D8">
        <f t="shared" si="1"/>
        <v>0.36000000000000004</v>
      </c>
    </row>
    <row r="9" spans="2:4" x14ac:dyDescent="0.25">
      <c r="B9">
        <f t="shared" si="2"/>
        <v>0.15000000000000002</v>
      </c>
      <c r="C9">
        <f t="shared" si="0"/>
        <v>0.4335</v>
      </c>
      <c r="D9">
        <f t="shared" si="1"/>
        <v>0.51</v>
      </c>
    </row>
    <row r="10" spans="2:4" x14ac:dyDescent="0.25">
      <c r="B10">
        <f t="shared" si="2"/>
        <v>0.2</v>
      </c>
      <c r="C10">
        <f t="shared" si="0"/>
        <v>0.51200000000000012</v>
      </c>
      <c r="D10">
        <f t="shared" si="1"/>
        <v>0.64000000000000012</v>
      </c>
    </row>
    <row r="11" spans="2:4" x14ac:dyDescent="0.25">
      <c r="B11">
        <f t="shared" si="2"/>
        <v>0.25</v>
      </c>
      <c r="C11">
        <f t="shared" si="0"/>
        <v>0.5625</v>
      </c>
      <c r="D11">
        <f t="shared" si="1"/>
        <v>0.75</v>
      </c>
    </row>
    <row r="12" spans="2:4" x14ac:dyDescent="0.25">
      <c r="B12">
        <f t="shared" si="2"/>
        <v>0.3</v>
      </c>
      <c r="C12">
        <f t="shared" si="0"/>
        <v>0.58799999999999986</v>
      </c>
      <c r="D12">
        <f t="shared" si="1"/>
        <v>0.84</v>
      </c>
    </row>
    <row r="13" spans="2:4" x14ac:dyDescent="0.25">
      <c r="B13">
        <f t="shared" si="2"/>
        <v>0.35</v>
      </c>
      <c r="C13">
        <f t="shared" si="0"/>
        <v>0.59150000000000003</v>
      </c>
      <c r="D13">
        <f t="shared" si="1"/>
        <v>0.90999999999999992</v>
      </c>
    </row>
    <row r="14" spans="2:4" x14ac:dyDescent="0.25">
      <c r="B14">
        <f t="shared" si="2"/>
        <v>0.39999999999999997</v>
      </c>
      <c r="C14">
        <f t="shared" si="0"/>
        <v>0.57600000000000007</v>
      </c>
      <c r="D14">
        <f t="shared" si="1"/>
        <v>0.96000000000000008</v>
      </c>
    </row>
    <row r="15" spans="2:4" x14ac:dyDescent="0.25">
      <c r="B15">
        <f t="shared" si="2"/>
        <v>0.44999999999999996</v>
      </c>
      <c r="C15">
        <f t="shared" si="0"/>
        <v>0.54449999999999998</v>
      </c>
      <c r="D15">
        <f t="shared" si="1"/>
        <v>0.99</v>
      </c>
    </row>
    <row r="16" spans="2:4" x14ac:dyDescent="0.25">
      <c r="B16">
        <f t="shared" si="2"/>
        <v>0.49999999999999994</v>
      </c>
      <c r="C16">
        <f t="shared" si="0"/>
        <v>0.49999999999999994</v>
      </c>
      <c r="D16">
        <f t="shared" si="1"/>
        <v>0.99999999999999989</v>
      </c>
    </row>
    <row r="17" spans="2:4" x14ac:dyDescent="0.25">
      <c r="B17">
        <f t="shared" si="2"/>
        <v>0.54999999999999993</v>
      </c>
      <c r="C17">
        <f t="shared" si="0"/>
        <v>0.44550000000000012</v>
      </c>
      <c r="D17">
        <f t="shared" si="1"/>
        <v>0.99</v>
      </c>
    </row>
    <row r="18" spans="2:4" x14ac:dyDescent="0.25">
      <c r="B18">
        <f t="shared" si="2"/>
        <v>0.6</v>
      </c>
      <c r="C18">
        <f t="shared" si="0"/>
        <v>0.38400000000000006</v>
      </c>
      <c r="D18">
        <f t="shared" si="1"/>
        <v>0.96</v>
      </c>
    </row>
    <row r="19" spans="2:4" x14ac:dyDescent="0.25">
      <c r="B19">
        <f t="shared" si="2"/>
        <v>0.65</v>
      </c>
      <c r="C19">
        <f t="shared" si="0"/>
        <v>0.31849999999999995</v>
      </c>
      <c r="D19">
        <f t="shared" si="1"/>
        <v>0.90999999999999992</v>
      </c>
    </row>
    <row r="20" spans="2:4" x14ac:dyDescent="0.25">
      <c r="B20">
        <f t="shared" si="2"/>
        <v>0.70000000000000007</v>
      </c>
      <c r="C20">
        <f t="shared" si="0"/>
        <v>0.25199999999999989</v>
      </c>
      <c r="D20">
        <f t="shared" si="1"/>
        <v>0.83999999999999986</v>
      </c>
    </row>
    <row r="21" spans="2:4" x14ac:dyDescent="0.25">
      <c r="B21">
        <f t="shared" si="2"/>
        <v>0.75000000000000011</v>
      </c>
      <c r="C21">
        <f t="shared" si="0"/>
        <v>0.18749999999999986</v>
      </c>
      <c r="D21">
        <f t="shared" si="1"/>
        <v>0.74999999999999978</v>
      </c>
    </row>
    <row r="22" spans="2:4" x14ac:dyDescent="0.25">
      <c r="B22">
        <f t="shared" si="2"/>
        <v>0.80000000000000016</v>
      </c>
      <c r="C22">
        <f t="shared" si="0"/>
        <v>0.12799999999999984</v>
      </c>
      <c r="D22">
        <f t="shared" si="1"/>
        <v>0.63999999999999968</v>
      </c>
    </row>
    <row r="23" spans="2:4" x14ac:dyDescent="0.25">
      <c r="B23">
        <f t="shared" si="2"/>
        <v>0.8500000000000002</v>
      </c>
      <c r="C23">
        <f t="shared" si="0"/>
        <v>7.6499999999999818E-2</v>
      </c>
      <c r="D23">
        <f t="shared" si="1"/>
        <v>0.50999999999999945</v>
      </c>
    </row>
    <row r="24" spans="2:4" x14ac:dyDescent="0.25">
      <c r="B24">
        <f>B23+0.05</f>
        <v>0.90000000000000024</v>
      </c>
      <c r="C24">
        <f t="shared" si="0"/>
        <v>3.5999999999999838E-2</v>
      </c>
      <c r="D24">
        <f t="shared" si="1"/>
        <v>0.35999999999999921</v>
      </c>
    </row>
    <row r="25" spans="2:4" x14ac:dyDescent="0.25">
      <c r="B25">
        <f t="shared" si="2"/>
        <v>0.95000000000000029</v>
      </c>
      <c r="C25">
        <f t="shared" si="0"/>
        <v>9.4999999999998922E-3</v>
      </c>
      <c r="D25">
        <f t="shared" si="1"/>
        <v>0.18999999999999895</v>
      </c>
    </row>
    <row r="26" spans="2:4" x14ac:dyDescent="0.25">
      <c r="B26">
        <f t="shared" si="2"/>
        <v>1.0000000000000002</v>
      </c>
      <c r="C26">
        <f t="shared" si="0"/>
        <v>1.97215226305253E-31</v>
      </c>
      <c r="D26">
        <f t="shared" si="1"/>
        <v>-8.8817841970012543E-16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D761-B97A-44D4-B52B-D91498842DFD}">
  <dimension ref="B2:F34"/>
  <sheetViews>
    <sheetView workbookViewId="0">
      <selection activeCell="F4" sqref="F4"/>
    </sheetView>
  </sheetViews>
  <sheetFormatPr defaultRowHeight="14.15" x14ac:dyDescent="0.25"/>
  <sheetData>
    <row r="2" spans="2:6" x14ac:dyDescent="0.25">
      <c r="B2" s="13" t="s">
        <v>26</v>
      </c>
      <c r="C2" s="13"/>
      <c r="D2" s="13"/>
      <c r="E2" s="13"/>
    </row>
    <row r="3" spans="2:6" x14ac:dyDescent="0.25">
      <c r="B3" s="13" t="s">
        <v>23</v>
      </c>
      <c r="C3" s="13"/>
      <c r="D3" s="13" t="s">
        <v>24</v>
      </c>
      <c r="E3" s="13"/>
    </row>
    <row r="4" spans="2:6" x14ac:dyDescent="0.25">
      <c r="B4" t="s">
        <v>22</v>
      </c>
      <c r="C4" t="s">
        <v>8</v>
      </c>
      <c r="D4" t="s">
        <v>22</v>
      </c>
      <c r="E4" t="s">
        <v>8</v>
      </c>
    </row>
    <row r="5" spans="2:6" x14ac:dyDescent="0.25">
      <c r="B5">
        <v>-2.3E-2</v>
      </c>
      <c r="C5">
        <v>8.5220000000000002</v>
      </c>
      <c r="D5">
        <v>2.3E-2</v>
      </c>
      <c r="E5">
        <v>6.9870000000000001</v>
      </c>
    </row>
    <row r="6" spans="2:6" x14ac:dyDescent="0.25">
      <c r="B6">
        <v>0.99099999999999999</v>
      </c>
      <c r="C6">
        <v>8.43</v>
      </c>
      <c r="D6">
        <v>1.036</v>
      </c>
      <c r="E6">
        <v>7.0179999999999998</v>
      </c>
    </row>
    <row r="7" spans="2:6" x14ac:dyDescent="0.25">
      <c r="B7">
        <v>2.0270000000000001</v>
      </c>
      <c r="C7">
        <v>8.2710000000000008</v>
      </c>
      <c r="D7">
        <v>2.0270000000000001</v>
      </c>
      <c r="E7">
        <v>7.0780000000000003</v>
      </c>
    </row>
    <row r="8" spans="2:6" x14ac:dyDescent="0.25">
      <c r="B8">
        <v>4.077</v>
      </c>
      <c r="C8">
        <v>7.8150000000000004</v>
      </c>
      <c r="D8">
        <v>4.0540000000000003</v>
      </c>
      <c r="E8">
        <v>7.2</v>
      </c>
    </row>
    <row r="9" spans="2:6" x14ac:dyDescent="0.25">
      <c r="B9">
        <v>6.0359999999999996</v>
      </c>
      <c r="C9">
        <v>7.3140000000000001</v>
      </c>
      <c r="D9">
        <v>6.0590000000000002</v>
      </c>
      <c r="E9">
        <v>7.359</v>
      </c>
    </row>
    <row r="10" spans="2:6" x14ac:dyDescent="0.25">
      <c r="B10" s="13" t="s">
        <v>23</v>
      </c>
      <c r="C10" s="13"/>
      <c r="D10" s="13" t="s">
        <v>24</v>
      </c>
      <c r="E10" s="13"/>
      <c r="F10" s="13" t="s">
        <v>28</v>
      </c>
    </row>
    <row r="11" spans="2:6" x14ac:dyDescent="0.25">
      <c r="B11" t="s">
        <v>22</v>
      </c>
      <c r="C11" t="s">
        <v>25</v>
      </c>
      <c r="D11" t="s">
        <v>22</v>
      </c>
      <c r="E11" t="s">
        <v>25</v>
      </c>
      <c r="F11" s="13"/>
    </row>
    <row r="12" spans="2:6" x14ac:dyDescent="0.25">
      <c r="B12">
        <v>-6.8000000000000005E-2</v>
      </c>
      <c r="C12">
        <v>1.7769999999999999</v>
      </c>
      <c r="D12">
        <v>-2.3E-2</v>
      </c>
      <c r="E12">
        <v>0.82799999999999996</v>
      </c>
      <c r="F12">
        <f>C12+E12</f>
        <v>2.605</v>
      </c>
    </row>
    <row r="13" spans="2:6" x14ac:dyDescent="0.25">
      <c r="B13">
        <v>0.99099999999999999</v>
      </c>
      <c r="C13">
        <v>1.724</v>
      </c>
      <c r="D13">
        <v>0.99099999999999999</v>
      </c>
      <c r="E13">
        <v>0.84299999999999997</v>
      </c>
      <c r="F13">
        <f>C13+E13</f>
        <v>2.5670000000000002</v>
      </c>
    </row>
    <row r="14" spans="2:6" x14ac:dyDescent="0.25">
      <c r="B14">
        <v>1.982</v>
      </c>
      <c r="C14">
        <v>1.625</v>
      </c>
      <c r="D14">
        <v>1.982</v>
      </c>
      <c r="E14">
        <v>0.88900000000000001</v>
      </c>
      <c r="F14">
        <f>C14+E14</f>
        <v>2.5140000000000002</v>
      </c>
    </row>
    <row r="15" spans="2:6" x14ac:dyDescent="0.25">
      <c r="B15">
        <v>4.0090000000000003</v>
      </c>
      <c r="C15">
        <v>1.359</v>
      </c>
      <c r="D15">
        <v>4.0090000000000003</v>
      </c>
      <c r="E15">
        <v>0.98</v>
      </c>
      <c r="F15">
        <f>C15+E15</f>
        <v>2.339</v>
      </c>
    </row>
    <row r="16" spans="2:6" x14ac:dyDescent="0.25">
      <c r="B16">
        <v>6.0140000000000002</v>
      </c>
      <c r="C16">
        <v>1.0629999999999999</v>
      </c>
      <c r="D16">
        <v>6.0140000000000002</v>
      </c>
      <c r="E16">
        <v>1.101</v>
      </c>
      <c r="F16">
        <f>C16+E16</f>
        <v>2.1639999999999997</v>
      </c>
    </row>
    <row r="20" spans="2:6" x14ac:dyDescent="0.25">
      <c r="B20" s="13" t="s">
        <v>27</v>
      </c>
      <c r="C20" s="13"/>
      <c r="D20" s="13"/>
      <c r="E20" s="13"/>
    </row>
    <row r="21" spans="2:6" x14ac:dyDescent="0.25">
      <c r="B21" s="13" t="s">
        <v>23</v>
      </c>
      <c r="C21" s="13"/>
      <c r="D21" s="13" t="s">
        <v>24</v>
      </c>
      <c r="E21" s="13"/>
    </row>
    <row r="22" spans="2:6" x14ac:dyDescent="0.25">
      <c r="B22" t="s">
        <v>22</v>
      </c>
      <c r="C22" t="s">
        <v>8</v>
      </c>
      <c r="D22" t="s">
        <v>22</v>
      </c>
      <c r="E22" t="s">
        <v>8</v>
      </c>
    </row>
    <row r="23" spans="2:6" x14ac:dyDescent="0.25">
      <c r="B23">
        <v>0</v>
      </c>
      <c r="C23">
        <v>7.6925703267444696</v>
      </c>
      <c r="D23">
        <v>0</v>
      </c>
      <c r="E23">
        <v>8.5062845798801501</v>
      </c>
    </row>
    <row r="24" spans="2:6" x14ac:dyDescent="0.25">
      <c r="B24">
        <v>1</v>
      </c>
      <c r="C24">
        <v>7.6931287332950404</v>
      </c>
      <c r="D24">
        <v>1</v>
      </c>
      <c r="E24">
        <v>8.3960506045132597</v>
      </c>
    </row>
    <row r="25" spans="2:6" x14ac:dyDescent="0.25">
      <c r="B25">
        <v>2</v>
      </c>
      <c r="C25">
        <v>7.6935400844400297</v>
      </c>
      <c r="D25">
        <v>2</v>
      </c>
      <c r="E25">
        <v>8.2945061122059105</v>
      </c>
    </row>
    <row r="26" spans="2:6" x14ac:dyDescent="0.25">
      <c r="B26">
        <v>3</v>
      </c>
      <c r="C26">
        <v>7.6937982802861802</v>
      </c>
      <c r="D26">
        <v>3</v>
      </c>
      <c r="E26">
        <v>8.2025484157053192</v>
      </c>
    </row>
    <row r="27" spans="2:6" x14ac:dyDescent="0.25">
      <c r="B27">
        <v>4</v>
      </c>
      <c r="C27">
        <v>7.6938101622498003</v>
      </c>
      <c r="D27">
        <v>4</v>
      </c>
      <c r="E27">
        <v>8.1116668207164295</v>
      </c>
    </row>
    <row r="28" spans="2:6" x14ac:dyDescent="0.25">
      <c r="B28" s="13" t="s">
        <v>23</v>
      </c>
      <c r="C28" s="13"/>
      <c r="D28" s="13" t="s">
        <v>24</v>
      </c>
      <c r="E28" s="13"/>
      <c r="F28" s="13" t="s">
        <v>28</v>
      </c>
    </row>
    <row r="29" spans="2:6" x14ac:dyDescent="0.25">
      <c r="B29" t="s">
        <v>22</v>
      </c>
      <c r="C29" t="s">
        <v>25</v>
      </c>
      <c r="D29" t="s">
        <v>22</v>
      </c>
      <c r="E29" t="s">
        <v>25</v>
      </c>
      <c r="F29" s="13"/>
    </row>
    <row r="30" spans="2:6" x14ac:dyDescent="0.25">
      <c r="B30">
        <v>0</v>
      </c>
      <c r="C30">
        <v>1.8592387525602401</v>
      </c>
      <c r="D30">
        <v>0</v>
      </c>
      <c r="E30">
        <v>1.1133401227839399</v>
      </c>
      <c r="F30">
        <f>E30+C30</f>
        <v>2.9725788753441797</v>
      </c>
    </row>
    <row r="31" spans="2:6" x14ac:dyDescent="0.25">
      <c r="B31">
        <v>1</v>
      </c>
      <c r="C31">
        <v>1.8276149742604699</v>
      </c>
      <c r="D31">
        <v>1</v>
      </c>
      <c r="E31">
        <v>1.1805108004679401</v>
      </c>
      <c r="F31">
        <f>E31+C31</f>
        <v>3.00812577472841</v>
      </c>
    </row>
    <row r="32" spans="2:6" x14ac:dyDescent="0.25">
      <c r="B32">
        <v>2</v>
      </c>
      <c r="C32">
        <v>1.7629154197922501</v>
      </c>
      <c r="D32">
        <v>2</v>
      </c>
      <c r="E32">
        <v>1.2466825411347799</v>
      </c>
      <c r="F32">
        <f>E32+C32</f>
        <v>3.0095979609270298</v>
      </c>
    </row>
    <row r="33" spans="2:6" x14ac:dyDescent="0.25">
      <c r="B33">
        <v>3</v>
      </c>
      <c r="C33">
        <v>1.6747286105939401</v>
      </c>
      <c r="D33">
        <v>3</v>
      </c>
      <c r="E33">
        <v>1.31000064675751</v>
      </c>
      <c r="F33">
        <f>E33+C33</f>
        <v>2.9847292573514501</v>
      </c>
    </row>
    <row r="34" spans="2:6" x14ac:dyDescent="0.25">
      <c r="B34">
        <v>4</v>
      </c>
      <c r="C34">
        <v>1.5411542749701801</v>
      </c>
      <c r="D34">
        <v>4</v>
      </c>
      <c r="E34">
        <v>1.37795196043098</v>
      </c>
      <c r="F34">
        <f>E34+C34</f>
        <v>2.9191062354011601</v>
      </c>
    </row>
  </sheetData>
  <mergeCells count="12">
    <mergeCell ref="F28:F29"/>
    <mergeCell ref="F10:F11"/>
    <mergeCell ref="B2:E2"/>
    <mergeCell ref="B20:E20"/>
    <mergeCell ref="B21:C21"/>
    <mergeCell ref="D21:E21"/>
    <mergeCell ref="B28:C28"/>
    <mergeCell ref="D28:E28"/>
    <mergeCell ref="B3:C3"/>
    <mergeCell ref="D3:E3"/>
    <mergeCell ref="B10:C10"/>
    <mergeCell ref="D10:E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239CC-BC38-44E3-8E08-89E4685D5CB7}">
  <dimension ref="B1:R18"/>
  <sheetViews>
    <sheetView topLeftCell="A10" workbookViewId="0">
      <selection activeCell="M15" sqref="M15"/>
    </sheetView>
  </sheetViews>
  <sheetFormatPr defaultRowHeight="14.15" x14ac:dyDescent="0.25"/>
  <sheetData>
    <row r="1" spans="2:18" x14ac:dyDescent="0.25">
      <c r="E1" s="13" t="s">
        <v>27</v>
      </c>
      <c r="F1" s="13"/>
      <c r="G1" s="13"/>
      <c r="H1" s="13"/>
    </row>
    <row r="2" spans="2:18" x14ac:dyDescent="0.25">
      <c r="C2" s="13" t="s">
        <v>31</v>
      </c>
      <c r="D2" s="13"/>
      <c r="E2" s="13" t="s">
        <v>32</v>
      </c>
      <c r="F2" s="13"/>
      <c r="G2" s="13" t="s">
        <v>33</v>
      </c>
      <c r="H2" s="13"/>
      <c r="I2" s="3"/>
      <c r="J2" s="13" t="s">
        <v>31</v>
      </c>
      <c r="K2" s="13"/>
      <c r="L2" s="13" t="s">
        <v>27</v>
      </c>
      <c r="M2" s="13"/>
      <c r="O2" s="13" t="s">
        <v>31</v>
      </c>
      <c r="P2" s="13"/>
      <c r="Q2" s="13" t="s">
        <v>27</v>
      </c>
      <c r="R2" s="13"/>
    </row>
    <row r="3" spans="2:18" x14ac:dyDescent="0.25">
      <c r="B3" t="s">
        <v>29</v>
      </c>
      <c r="C3" t="s">
        <v>30</v>
      </c>
      <c r="D3" t="s">
        <v>10</v>
      </c>
      <c r="E3" t="s">
        <v>30</v>
      </c>
      <c r="F3" t="s">
        <v>10</v>
      </c>
      <c r="G3" t="s">
        <v>30</v>
      </c>
      <c r="H3" t="s">
        <v>10</v>
      </c>
      <c r="I3" s="3" t="s">
        <v>29</v>
      </c>
      <c r="J3" t="s">
        <v>32</v>
      </c>
      <c r="K3" t="s">
        <v>35</v>
      </c>
      <c r="L3" t="s">
        <v>32</v>
      </c>
      <c r="M3" t="s">
        <v>35</v>
      </c>
      <c r="N3" t="s">
        <v>29</v>
      </c>
      <c r="O3" t="s">
        <v>32</v>
      </c>
      <c r="P3" t="s">
        <v>35</v>
      </c>
      <c r="Q3" t="s">
        <v>32</v>
      </c>
      <c r="R3" t="s">
        <v>35</v>
      </c>
    </row>
    <row r="4" spans="2:18" x14ac:dyDescent="0.25">
      <c r="B4">
        <v>1</v>
      </c>
      <c r="C4">
        <v>0.61399999999999999</v>
      </c>
      <c r="D4">
        <v>0.09</v>
      </c>
      <c r="E4">
        <v>7.0679999999999996</v>
      </c>
      <c r="F4">
        <v>9</v>
      </c>
      <c r="G4">
        <v>7.0679999999999996</v>
      </c>
      <c r="H4">
        <v>9</v>
      </c>
      <c r="I4" s="3">
        <v>1</v>
      </c>
      <c r="J4">
        <v>0.442</v>
      </c>
      <c r="K4">
        <v>0.38200000000000001</v>
      </c>
      <c r="L4">
        <v>0.23220669765902299</v>
      </c>
      <c r="M4">
        <v>0.25681121553285102</v>
      </c>
      <c r="N4">
        <v>1</v>
      </c>
      <c r="O4">
        <f t="shared" ref="O4:P8" si="0">J4/$J$4</f>
        <v>1</v>
      </c>
      <c r="P4">
        <f t="shared" si="0"/>
        <v>0.86425339366515841</v>
      </c>
      <c r="Q4">
        <f>M4/$M$4</f>
        <v>1</v>
      </c>
      <c r="R4">
        <f>L4/$M$4</f>
        <v>0.90419219883844737</v>
      </c>
    </row>
    <row r="5" spans="2:18" x14ac:dyDescent="0.25">
      <c r="B5">
        <v>2</v>
      </c>
      <c r="C5">
        <v>0.44</v>
      </c>
      <c r="D5">
        <v>0.218</v>
      </c>
      <c r="E5">
        <v>4.2923136205974499</v>
      </c>
      <c r="F5">
        <v>19.804013368787601</v>
      </c>
      <c r="G5">
        <v>5.1826953629563599</v>
      </c>
      <c r="H5">
        <v>15.6343160661142</v>
      </c>
      <c r="I5" s="3">
        <v>2</v>
      </c>
      <c r="J5">
        <v>0.153</v>
      </c>
      <c r="K5">
        <v>0.217</v>
      </c>
      <c r="L5">
        <v>9.4189580202176201E-2</v>
      </c>
      <c r="M5">
        <v>4.7626307808856801E-2</v>
      </c>
      <c r="N5">
        <v>2</v>
      </c>
      <c r="O5">
        <f t="shared" si="0"/>
        <v>0.34615384615384615</v>
      </c>
      <c r="P5">
        <f t="shared" si="0"/>
        <v>0.49095022624434387</v>
      </c>
      <c r="Q5">
        <f>M5/$M$4</f>
        <v>0.18545260069751313</v>
      </c>
      <c r="R5">
        <f>L5/$M$4</f>
        <v>0.36676583616780384</v>
      </c>
    </row>
    <row r="6" spans="2:18" x14ac:dyDescent="0.25">
      <c r="B6">
        <v>3</v>
      </c>
      <c r="C6">
        <v>0.49199999999999999</v>
      </c>
      <c r="D6">
        <v>0.24399999999999999</v>
      </c>
      <c r="E6">
        <v>2.9143061735212701</v>
      </c>
      <c r="F6">
        <v>26.3395478209634</v>
      </c>
      <c r="G6">
        <v>3.5870978646521801</v>
      </c>
      <c r="H6">
        <v>23.185892354048701</v>
      </c>
      <c r="I6" s="3">
        <v>3</v>
      </c>
      <c r="J6">
        <v>0.219</v>
      </c>
      <c r="K6">
        <v>0.247</v>
      </c>
      <c r="L6">
        <v>2.16160060380481E-2</v>
      </c>
      <c r="M6">
        <v>0</v>
      </c>
      <c r="N6">
        <v>3</v>
      </c>
      <c r="O6">
        <f t="shared" si="0"/>
        <v>0.49547511312217196</v>
      </c>
      <c r="P6">
        <f t="shared" si="0"/>
        <v>0.55882352941176472</v>
      </c>
      <c r="Q6">
        <f>M6/$M$4</f>
        <v>0</v>
      </c>
      <c r="R6">
        <f>L6/$M$4</f>
        <v>8.4170802249417351E-2</v>
      </c>
    </row>
    <row r="7" spans="2:18" x14ac:dyDescent="0.25">
      <c r="B7">
        <v>4</v>
      </c>
      <c r="C7">
        <v>0.48299999999999998</v>
      </c>
      <c r="D7">
        <v>0.26100000000000001</v>
      </c>
      <c r="E7">
        <v>4.2003759298667998</v>
      </c>
      <c r="F7">
        <v>20.897399589539699</v>
      </c>
      <c r="G7">
        <v>2.4712258064516099</v>
      </c>
      <c r="H7">
        <v>28.149166154248299</v>
      </c>
      <c r="I7" s="3">
        <v>4</v>
      </c>
      <c r="J7">
        <v>0.20799999999999999</v>
      </c>
      <c r="K7">
        <v>0.23899999999999999</v>
      </c>
      <c r="L7">
        <v>0</v>
      </c>
      <c r="M7">
        <v>1.44031535523063E-2</v>
      </c>
      <c r="N7">
        <v>4</v>
      </c>
      <c r="O7">
        <f t="shared" si="0"/>
        <v>0.47058823529411764</v>
      </c>
      <c r="P7">
        <f t="shared" si="0"/>
        <v>0.54072398190045246</v>
      </c>
      <c r="Q7">
        <f>M7/$M$4</f>
        <v>5.6084597093711677E-2</v>
      </c>
      <c r="R7">
        <f>L7/$M$4</f>
        <v>0</v>
      </c>
    </row>
    <row r="8" spans="2:18" x14ac:dyDescent="0.25">
      <c r="B8">
        <v>5</v>
      </c>
      <c r="C8">
        <v>0.48199999999999998</v>
      </c>
      <c r="D8">
        <v>0.26700000000000002</v>
      </c>
      <c r="E8">
        <v>3.2610686824355199</v>
      </c>
      <c r="F8">
        <v>24.517620343365099</v>
      </c>
      <c r="G8">
        <v>2.5531526677612</v>
      </c>
      <c r="H8">
        <v>27.783270844087301</v>
      </c>
      <c r="I8" s="3">
        <v>5</v>
      </c>
      <c r="J8">
        <v>0.20499999999999999</v>
      </c>
      <c r="K8">
        <v>0.22900000000000001</v>
      </c>
      <c r="L8">
        <v>0</v>
      </c>
      <c r="M8">
        <v>4.3765115641145901E-2</v>
      </c>
      <c r="N8">
        <v>5</v>
      </c>
      <c r="O8">
        <f t="shared" si="0"/>
        <v>0.46380090497737553</v>
      </c>
      <c r="P8">
        <f t="shared" si="0"/>
        <v>0.51809954751131226</v>
      </c>
      <c r="Q8">
        <f>M8/$M$4</f>
        <v>0.17041746229945129</v>
      </c>
      <c r="R8">
        <f>L8/$M$4</f>
        <v>0</v>
      </c>
    </row>
    <row r="10" spans="2:18" x14ac:dyDescent="0.25">
      <c r="B10" s="13" t="s">
        <v>34</v>
      </c>
      <c r="C10" s="13"/>
      <c r="D10" s="13"/>
      <c r="E10" s="13"/>
      <c r="F10" s="13"/>
      <c r="G10" s="13"/>
      <c r="H10" s="13"/>
    </row>
    <row r="11" spans="2:18" x14ac:dyDescent="0.25">
      <c r="E11" s="13" t="s">
        <v>27</v>
      </c>
      <c r="F11" s="13"/>
      <c r="G11" s="13"/>
      <c r="H11" s="13"/>
    </row>
    <row r="12" spans="2:18" x14ac:dyDescent="0.25">
      <c r="C12" s="13" t="s">
        <v>31</v>
      </c>
      <c r="D12" s="13"/>
      <c r="E12" s="13" t="s">
        <v>32</v>
      </c>
      <c r="F12" s="13"/>
      <c r="G12" s="13" t="s">
        <v>33</v>
      </c>
      <c r="H12" s="13"/>
    </row>
    <row r="13" spans="2:18" x14ac:dyDescent="0.25">
      <c r="B13" t="s">
        <v>29</v>
      </c>
      <c r="C13" t="s">
        <v>30</v>
      </c>
      <c r="D13" t="s">
        <v>10</v>
      </c>
      <c r="E13" t="s">
        <v>30</v>
      </c>
      <c r="F13" t="s">
        <v>10</v>
      </c>
      <c r="G13" t="s">
        <v>30</v>
      </c>
      <c r="H13" t="s">
        <v>10</v>
      </c>
    </row>
    <row r="14" spans="2:18" x14ac:dyDescent="0.25">
      <c r="B14">
        <v>1</v>
      </c>
      <c r="C14">
        <v>0.61399999999999999</v>
      </c>
      <c r="D14">
        <f>D4*100</f>
        <v>9</v>
      </c>
      <c r="E14">
        <f>E4/11.4</f>
        <v>0.62</v>
      </c>
      <c r="F14">
        <v>9</v>
      </c>
      <c r="G14">
        <f>G4/11.4</f>
        <v>0.62</v>
      </c>
      <c r="H14">
        <v>9</v>
      </c>
    </row>
    <row r="15" spans="2:18" x14ac:dyDescent="0.25">
      <c r="B15">
        <v>2</v>
      </c>
      <c r="C15">
        <v>0.44</v>
      </c>
      <c r="D15">
        <f>D5*100</f>
        <v>21.8</v>
      </c>
      <c r="E15">
        <f>E5/11.4</f>
        <v>0.37651873864889912</v>
      </c>
      <c r="F15">
        <v>19.804013368787601</v>
      </c>
      <c r="G15">
        <f>G5/11.4</f>
        <v>0.45462240025932982</v>
      </c>
      <c r="H15">
        <v>15.6343160661142</v>
      </c>
    </row>
    <row r="16" spans="2:18" x14ac:dyDescent="0.25">
      <c r="B16">
        <v>3</v>
      </c>
      <c r="C16">
        <v>0.49199999999999999</v>
      </c>
      <c r="D16">
        <f>D6*100</f>
        <v>24.4</v>
      </c>
      <c r="E16">
        <f>E6/11.4</f>
        <v>0.2556408924141465</v>
      </c>
      <c r="F16">
        <v>32.205624786774202</v>
      </c>
      <c r="G16">
        <f>G6/11.4</f>
        <v>0.31465770742562982</v>
      </c>
      <c r="H16">
        <v>26.790010741696101</v>
      </c>
    </row>
    <row r="17" spans="2:8" x14ac:dyDescent="0.25">
      <c r="B17">
        <v>4</v>
      </c>
      <c r="C17">
        <v>0.48299999999999998</v>
      </c>
      <c r="D17">
        <f>D7*100</f>
        <v>26.1</v>
      </c>
      <c r="E17">
        <f>E7/11.4</f>
        <v>0.36845402893568419</v>
      </c>
      <c r="F17">
        <v>37.7311039902416</v>
      </c>
      <c r="G17">
        <f>G7/11.4</f>
        <v>0.21677419354838684</v>
      </c>
      <c r="H17">
        <v>38.488303405152699</v>
      </c>
    </row>
    <row r="18" spans="2:8" x14ac:dyDescent="0.25">
      <c r="B18">
        <v>5</v>
      </c>
      <c r="C18">
        <v>0.48199999999999998</v>
      </c>
      <c r="D18">
        <f>D8*100</f>
        <v>26.700000000000003</v>
      </c>
      <c r="E18">
        <f>E8/11.4</f>
        <v>0.28605865635399297</v>
      </c>
      <c r="F18">
        <v>42.1474128923264</v>
      </c>
      <c r="G18">
        <f>G8/11.4</f>
        <v>0.22396076032992981</v>
      </c>
      <c r="H18">
        <v>44.449031533931198</v>
      </c>
    </row>
  </sheetData>
  <mergeCells count="13">
    <mergeCell ref="O2:P2"/>
    <mergeCell ref="Q2:R2"/>
    <mergeCell ref="C12:D12"/>
    <mergeCell ref="E2:F2"/>
    <mergeCell ref="E1:H1"/>
    <mergeCell ref="G2:H2"/>
    <mergeCell ref="E11:H11"/>
    <mergeCell ref="E12:F12"/>
    <mergeCell ref="G12:H12"/>
    <mergeCell ref="B10:H10"/>
    <mergeCell ref="C2:D2"/>
    <mergeCell ref="J2:K2"/>
    <mergeCell ref="L2:M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E781-0739-4923-86AD-A6E0286D2954}">
  <dimension ref="C2:G23"/>
  <sheetViews>
    <sheetView workbookViewId="0">
      <selection activeCell="X22" sqref="X22"/>
    </sheetView>
  </sheetViews>
  <sheetFormatPr defaultRowHeight="14.15" x14ac:dyDescent="0.25"/>
  <sheetData>
    <row r="2" spans="3:7" x14ac:dyDescent="0.25">
      <c r="D2" s="13" t="s">
        <v>27</v>
      </c>
      <c r="E2" s="13"/>
    </row>
    <row r="3" spans="3:7" x14ac:dyDescent="0.25">
      <c r="C3" t="s">
        <v>36</v>
      </c>
      <c r="D3" t="s">
        <v>37</v>
      </c>
      <c r="E3" t="s">
        <v>38</v>
      </c>
      <c r="F3" t="s">
        <v>39</v>
      </c>
      <c r="G3" t="s">
        <v>40</v>
      </c>
    </row>
    <row r="4" spans="3:7" x14ac:dyDescent="0.25">
      <c r="C4">
        <v>1</v>
      </c>
      <c r="D4">
        <v>1859.2387525602401</v>
      </c>
      <c r="E4">
        <f>D4/$D$4</f>
        <v>1</v>
      </c>
      <c r="F4">
        <v>1</v>
      </c>
      <c r="G4">
        <v>1</v>
      </c>
    </row>
    <row r="5" spans="3:7" x14ac:dyDescent="0.25">
      <c r="C5">
        <f>C4+1</f>
        <v>2</v>
      </c>
      <c r="D5">
        <v>1113.3401227839399</v>
      </c>
      <c r="E5">
        <f t="shared" ref="E5:E13" si="0">D5/$D$4</f>
        <v>0.59881503720317231</v>
      </c>
      <c r="F5">
        <v>0.64</v>
      </c>
      <c r="G5">
        <v>0.7</v>
      </c>
    </row>
    <row r="6" spans="3:7" x14ac:dyDescent="0.25">
      <c r="C6">
        <f t="shared" ref="C6:C13" si="1">C5+1</f>
        <v>3</v>
      </c>
      <c r="D6">
        <v>977.19321349057702</v>
      </c>
      <c r="E6">
        <f t="shared" si="0"/>
        <v>0.52558780422629747</v>
      </c>
      <c r="F6">
        <v>0.63400000000000001</v>
      </c>
      <c r="G6">
        <v>0.60299999999999998</v>
      </c>
    </row>
    <row r="7" spans="3:7" x14ac:dyDescent="0.25">
      <c r="C7">
        <f t="shared" si="1"/>
        <v>4</v>
      </c>
      <c r="D7">
        <v>947.00049038077202</v>
      </c>
      <c r="E7">
        <f t="shared" si="0"/>
        <v>0.50934851109182055</v>
      </c>
      <c r="F7">
        <v>0.60499999999999998</v>
      </c>
      <c r="G7">
        <v>0.55600000000000005</v>
      </c>
    </row>
    <row r="8" spans="3:7" x14ac:dyDescent="0.25">
      <c r="C8">
        <f t="shared" si="1"/>
        <v>5</v>
      </c>
      <c r="D8">
        <v>939.97210026176799</v>
      </c>
      <c r="E8">
        <f t="shared" si="0"/>
        <v>0.50556825957257612</v>
      </c>
      <c r="F8">
        <v>0.59299999999999997</v>
      </c>
      <c r="G8">
        <v>0.53</v>
      </c>
    </row>
    <row r="9" spans="3:7" x14ac:dyDescent="0.25">
      <c r="C9">
        <f t="shared" si="1"/>
        <v>6</v>
      </c>
      <c r="D9">
        <v>938.37867677951203</v>
      </c>
      <c r="E9">
        <f t="shared" si="0"/>
        <v>0.50471122952193748</v>
      </c>
      <c r="F9">
        <v>0.58499999999999996</v>
      </c>
      <c r="G9">
        <v>0.52200000000000002</v>
      </c>
    </row>
    <row r="10" spans="3:7" x14ac:dyDescent="0.25">
      <c r="C10">
        <f t="shared" si="1"/>
        <v>7</v>
      </c>
      <c r="D10">
        <v>937.99404954965701</v>
      </c>
      <c r="E10">
        <f t="shared" si="0"/>
        <v>0.50450435602098154</v>
      </c>
      <c r="F10">
        <v>0.58099999999999996</v>
      </c>
      <c r="G10">
        <v>0.50700000000000001</v>
      </c>
    </row>
    <row r="11" spans="3:7" x14ac:dyDescent="0.25">
      <c r="C11">
        <f t="shared" si="1"/>
        <v>8</v>
      </c>
      <c r="D11">
        <v>937.89878708783203</v>
      </c>
      <c r="E11">
        <f t="shared" si="0"/>
        <v>0.50445311867360276</v>
      </c>
      <c r="F11">
        <v>0.59299999999999997</v>
      </c>
      <c r="G11">
        <v>0.503</v>
      </c>
    </row>
    <row r="12" spans="3:7" x14ac:dyDescent="0.25">
      <c r="C12">
        <f t="shared" si="1"/>
        <v>9</v>
      </c>
      <c r="D12">
        <v>937.89892901747805</v>
      </c>
      <c r="E12">
        <f t="shared" si="0"/>
        <v>0.50445319501110697</v>
      </c>
      <c r="F12">
        <v>0.57899999999999996</v>
      </c>
      <c r="G12">
        <v>0.49299999999999999</v>
      </c>
    </row>
    <row r="13" spans="3:7" x14ac:dyDescent="0.25">
      <c r="C13">
        <f t="shared" si="1"/>
        <v>10</v>
      </c>
      <c r="D13">
        <v>937.89892901747805</v>
      </c>
      <c r="E13">
        <f t="shared" si="0"/>
        <v>0.50445319501110697</v>
      </c>
      <c r="F13">
        <v>0.57499999999999996</v>
      </c>
      <c r="G13">
        <v>0.49299999999999999</v>
      </c>
    </row>
    <row r="23" spans="4:4" x14ac:dyDescent="0.25">
      <c r="D23" s="10"/>
    </row>
  </sheetData>
  <mergeCells count="1">
    <mergeCell ref="D2:E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8FD9-301D-457F-AE14-7A8D9661D287}">
  <dimension ref="A2:T47"/>
  <sheetViews>
    <sheetView tabSelected="1" topLeftCell="AA1" workbookViewId="0">
      <selection activeCell="R36" sqref="R36:T47"/>
    </sheetView>
  </sheetViews>
  <sheetFormatPr defaultRowHeight="14.15" x14ac:dyDescent="0.25"/>
  <sheetData>
    <row r="2" spans="1:20" x14ac:dyDescent="0.25">
      <c r="B2" s="13" t="s">
        <v>42</v>
      </c>
      <c r="C2" s="13"/>
      <c r="D2" s="13"/>
      <c r="E2" s="13"/>
      <c r="F2" s="13"/>
      <c r="G2" s="13"/>
      <c r="H2" s="13"/>
      <c r="I2" s="13"/>
      <c r="J2" s="13"/>
      <c r="L2" s="13" t="s">
        <v>44</v>
      </c>
      <c r="M2" s="13"/>
      <c r="N2" s="13"/>
      <c r="O2" s="13"/>
      <c r="P2" s="13"/>
      <c r="Q2" s="13"/>
      <c r="R2" s="13"/>
      <c r="S2" s="13"/>
      <c r="T2" s="13"/>
    </row>
    <row r="3" spans="1:20" x14ac:dyDescent="0.25">
      <c r="B3" s="13" t="s">
        <v>45</v>
      </c>
      <c r="C3" s="13"/>
      <c r="D3" s="13"/>
      <c r="E3" s="13"/>
      <c r="F3" s="13"/>
      <c r="G3" s="13"/>
      <c r="H3" s="13"/>
      <c r="I3" s="13"/>
      <c r="J3" s="13"/>
      <c r="L3" s="13" t="s">
        <v>45</v>
      </c>
      <c r="M3" s="13"/>
      <c r="N3" s="13"/>
      <c r="O3" s="13"/>
      <c r="P3" s="13"/>
      <c r="Q3" s="13"/>
      <c r="R3" s="13"/>
      <c r="S3" s="13"/>
      <c r="T3" s="13"/>
    </row>
    <row r="4" spans="1:20" x14ac:dyDescent="0.25">
      <c r="B4" s="13" t="s">
        <v>46</v>
      </c>
      <c r="C4" s="13"/>
      <c r="D4" s="13"/>
      <c r="E4" s="13" t="s">
        <v>47</v>
      </c>
      <c r="F4" s="13"/>
      <c r="G4" s="13"/>
      <c r="H4" s="13" t="s">
        <v>48</v>
      </c>
      <c r="I4" s="13"/>
      <c r="J4" s="13"/>
      <c r="L4" s="13" t="s">
        <v>46</v>
      </c>
      <c r="M4" s="13"/>
      <c r="N4" s="13"/>
      <c r="O4" s="13" t="s">
        <v>47</v>
      </c>
      <c r="P4" s="13"/>
      <c r="Q4" s="13"/>
      <c r="R4" s="13" t="s">
        <v>48</v>
      </c>
      <c r="S4" s="13"/>
      <c r="T4" s="13"/>
    </row>
    <row r="5" spans="1:20" x14ac:dyDescent="0.25">
      <c r="B5" t="s">
        <v>41</v>
      </c>
      <c r="C5" t="s">
        <v>43</v>
      </c>
      <c r="D5" t="s">
        <v>7</v>
      </c>
      <c r="E5" t="s">
        <v>41</v>
      </c>
      <c r="F5" t="s">
        <v>43</v>
      </c>
      <c r="G5" t="s">
        <v>7</v>
      </c>
      <c r="H5" t="s">
        <v>41</v>
      </c>
      <c r="I5" t="s">
        <v>43</v>
      </c>
      <c r="J5" t="s">
        <v>7</v>
      </c>
      <c r="L5" t="s">
        <v>41</v>
      </c>
      <c r="M5" t="s">
        <v>43</v>
      </c>
      <c r="N5" t="s">
        <v>7</v>
      </c>
      <c r="O5" t="s">
        <v>41</v>
      </c>
      <c r="P5" t="s">
        <v>43</v>
      </c>
      <c r="Q5" t="s">
        <v>7</v>
      </c>
      <c r="R5" t="s">
        <v>41</v>
      </c>
      <c r="S5" t="s">
        <v>43</v>
      </c>
      <c r="T5" t="s">
        <v>7</v>
      </c>
    </row>
    <row r="6" spans="1:20" x14ac:dyDescent="0.25">
      <c r="A6">
        <v>3</v>
      </c>
      <c r="B6">
        <v>31.549230838137198</v>
      </c>
      <c r="C6">
        <v>806.32080984560002</v>
      </c>
      <c r="D6">
        <v>1.11214988346286</v>
      </c>
      <c r="E6">
        <v>29.6841375041882</v>
      </c>
      <c r="F6">
        <v>809.900346774068</v>
      </c>
      <c r="G6">
        <v>1.1147613885112899</v>
      </c>
      <c r="H6">
        <v>27.456952567005899</v>
      </c>
      <c r="I6">
        <v>814.49477384530405</v>
      </c>
      <c r="J6">
        <v>1.11794826225293</v>
      </c>
      <c r="L6">
        <v>31.583809572398799</v>
      </c>
      <c r="M6">
        <v>810.09718011994005</v>
      </c>
      <c r="N6">
        <v>1.11282245532541</v>
      </c>
      <c r="O6">
        <v>29.124452665336602</v>
      </c>
      <c r="P6">
        <v>813.88498323912097</v>
      </c>
      <c r="Q6">
        <v>1.11649662735674</v>
      </c>
      <c r="R6">
        <v>26.665095758274401</v>
      </c>
      <c r="S6">
        <v>817.67278635830303</v>
      </c>
      <c r="T6">
        <v>1.1201707993880601</v>
      </c>
    </row>
    <row r="7" spans="1:20" x14ac:dyDescent="0.25">
      <c r="A7">
        <v>4</v>
      </c>
      <c r="B7">
        <v>173.72130825924299</v>
      </c>
      <c r="C7">
        <v>713.78891176323805</v>
      </c>
      <c r="D7">
        <v>0.98628736937109496</v>
      </c>
      <c r="E7">
        <v>174.12721074507499</v>
      </c>
      <c r="F7">
        <v>722.40082366718605</v>
      </c>
      <c r="G7">
        <v>0.98871722899712</v>
      </c>
      <c r="H7">
        <v>174.55997337772601</v>
      </c>
      <c r="I7">
        <v>735.64425630622998</v>
      </c>
      <c r="J7">
        <v>0.99209620604398996</v>
      </c>
      <c r="L7">
        <v>171.06243280021999</v>
      </c>
      <c r="M7">
        <v>711.49863675317499</v>
      </c>
      <c r="N7">
        <v>0.98813021058449002</v>
      </c>
      <c r="O7">
        <v>171.772857160217</v>
      </c>
      <c r="P7">
        <v>726.97686573130204</v>
      </c>
      <c r="Q7">
        <v>0.99177936348096696</v>
      </c>
      <c r="R7">
        <v>172.48328152021301</v>
      </c>
      <c r="S7">
        <v>742.45509470943</v>
      </c>
      <c r="T7">
        <v>0.99542851637744401</v>
      </c>
    </row>
    <row r="8" spans="1:20" x14ac:dyDescent="0.25">
      <c r="A8">
        <v>5</v>
      </c>
      <c r="B8">
        <v>405.54201380256598</v>
      </c>
      <c r="C8">
        <v>647.00487592793797</v>
      </c>
      <c r="D8">
        <v>0.90690408902167896</v>
      </c>
      <c r="E8">
        <v>405.71279761903497</v>
      </c>
      <c r="F8">
        <v>662.99721680191999</v>
      </c>
      <c r="G8">
        <v>0.90915697430276399</v>
      </c>
      <c r="H8">
        <v>406.77076010473598</v>
      </c>
      <c r="I8">
        <v>685.87303832720704</v>
      </c>
      <c r="J8">
        <v>0.91220101238397699</v>
      </c>
      <c r="L8">
        <v>407.37192871235698</v>
      </c>
      <c r="M8">
        <v>654.414955370999</v>
      </c>
      <c r="N8">
        <v>0.90829385876831203</v>
      </c>
      <c r="O8">
        <v>408.79461393043402</v>
      </c>
      <c r="P8">
        <v>681.37398976286602</v>
      </c>
      <c r="Q8">
        <v>0.91141454551685497</v>
      </c>
      <c r="R8">
        <v>410.21729914850999</v>
      </c>
      <c r="S8">
        <v>708.33302415473395</v>
      </c>
      <c r="T8">
        <v>0.91453523226540101</v>
      </c>
    </row>
    <row r="9" spans="1:20" x14ac:dyDescent="0.25">
      <c r="A9">
        <v>6</v>
      </c>
      <c r="B9">
        <v>755.31078566090002</v>
      </c>
      <c r="C9">
        <v>615.46351442301705</v>
      </c>
      <c r="D9">
        <v>0.85005716732232095</v>
      </c>
      <c r="E9">
        <v>755.37289867353297</v>
      </c>
      <c r="F9">
        <v>648.31919592636996</v>
      </c>
      <c r="G9">
        <v>0.85164889970038804</v>
      </c>
      <c r="H9">
        <v>756.90409432052797</v>
      </c>
      <c r="I9">
        <v>694.03648110821098</v>
      </c>
      <c r="J9">
        <v>0.85382927738603498</v>
      </c>
      <c r="L9">
        <v>756.78866796187106</v>
      </c>
      <c r="M9">
        <v>633.69637673368595</v>
      </c>
      <c r="N9">
        <v>0.84850212610210696</v>
      </c>
      <c r="O9">
        <v>758.42479277888503</v>
      </c>
      <c r="P9">
        <v>678.40274043389604</v>
      </c>
      <c r="Q9">
        <v>0.85099278349674801</v>
      </c>
      <c r="R9">
        <v>760.06091759589901</v>
      </c>
      <c r="S9">
        <v>723.10910413410602</v>
      </c>
      <c r="T9">
        <v>0.85348344089139005</v>
      </c>
    </row>
    <row r="10" spans="1:20" x14ac:dyDescent="0.25">
      <c r="A10">
        <v>7</v>
      </c>
      <c r="B10">
        <v>1235.8171950999599</v>
      </c>
      <c r="C10">
        <v>621.59906170346505</v>
      </c>
      <c r="D10">
        <v>0.80428510505420003</v>
      </c>
      <c r="E10">
        <v>1235.9221663148801</v>
      </c>
      <c r="F10">
        <v>676.32301881902799</v>
      </c>
      <c r="G10">
        <v>0.80552884595118901</v>
      </c>
      <c r="H10">
        <v>1238.4127708779899</v>
      </c>
      <c r="I10">
        <v>751.39497794093802</v>
      </c>
      <c r="J10">
        <v>0.80738682545164897</v>
      </c>
      <c r="L10">
        <v>1234.88665879155</v>
      </c>
      <c r="M10">
        <v>648.96531883032696</v>
      </c>
      <c r="N10">
        <v>0.80274229166033695</v>
      </c>
      <c r="O10">
        <v>1237.3902334014699</v>
      </c>
      <c r="P10">
        <v>720.94098002936096</v>
      </c>
      <c r="Q10">
        <v>0.80475172660941297</v>
      </c>
      <c r="R10">
        <v>1239.8938080113801</v>
      </c>
      <c r="S10">
        <v>792.916641228397</v>
      </c>
      <c r="T10">
        <v>0.80676116155848598</v>
      </c>
    </row>
    <row r="11" spans="1:20" x14ac:dyDescent="0.25">
      <c r="A11">
        <v>7.84</v>
      </c>
      <c r="B11">
        <v>1750.04165670871</v>
      </c>
      <c r="C11">
        <v>661.185863141087</v>
      </c>
      <c r="D11">
        <v>0.77163020643470903</v>
      </c>
      <c r="E11">
        <v>1751.1557182854001</v>
      </c>
      <c r="F11">
        <v>736.97729795104203</v>
      </c>
      <c r="G11">
        <v>0.77301684711956598</v>
      </c>
      <c r="H11">
        <v>1754.3931237608299</v>
      </c>
      <c r="I11">
        <v>835.69507398218502</v>
      </c>
      <c r="J11">
        <v>0.77472591656962497</v>
      </c>
      <c r="L11">
        <v>1747.69382110418</v>
      </c>
      <c r="M11">
        <v>689.907803143141</v>
      </c>
      <c r="N11">
        <v>0.77731689390243597</v>
      </c>
      <c r="O11">
        <v>1751.7088881472901</v>
      </c>
      <c r="P11">
        <v>792.267918102458</v>
      </c>
      <c r="Q11">
        <v>0.77911385555199697</v>
      </c>
      <c r="R11">
        <v>1755.7239551904099</v>
      </c>
      <c r="S11">
        <v>894.62803306177602</v>
      </c>
      <c r="T11">
        <v>0.78091081720155997</v>
      </c>
    </row>
    <row r="12" spans="1:20" x14ac:dyDescent="0.25">
      <c r="A12">
        <v>8</v>
      </c>
      <c r="B12">
        <v>1859.2387525602401</v>
      </c>
      <c r="C12">
        <v>667.96746455767698</v>
      </c>
      <c r="D12">
        <v>0.77110705568134397</v>
      </c>
      <c r="E12">
        <v>1860.60263994153</v>
      </c>
      <c r="F12">
        <v>748.907035326254</v>
      </c>
      <c r="G12">
        <v>0.77251044582478601</v>
      </c>
      <c r="H12">
        <v>1864.1741173741</v>
      </c>
      <c r="I12">
        <v>853.90239949641602</v>
      </c>
      <c r="J12">
        <v>0.77422469768903701</v>
      </c>
      <c r="L12">
        <v>1857.80190202887</v>
      </c>
      <c r="M12">
        <v>700.54200248679899</v>
      </c>
      <c r="N12">
        <v>0.774040939958625</v>
      </c>
      <c r="O12">
        <v>1862.1739003820201</v>
      </c>
      <c r="P12">
        <v>809.34367362710395</v>
      </c>
      <c r="Q12">
        <v>0.77581681579196404</v>
      </c>
      <c r="R12">
        <v>1866.5458987351799</v>
      </c>
      <c r="S12">
        <v>918.14534476740596</v>
      </c>
      <c r="T12">
        <v>0.77759269162530698</v>
      </c>
    </row>
    <row r="13" spans="1:20" x14ac:dyDescent="0.25">
      <c r="A13">
        <v>9</v>
      </c>
      <c r="B13">
        <v>2641.07892259858</v>
      </c>
      <c r="C13">
        <v>732.67084086136799</v>
      </c>
      <c r="D13">
        <v>0.76931524849970601</v>
      </c>
      <c r="E13">
        <v>2643.13436556222</v>
      </c>
      <c r="F13">
        <v>849.95693926603406</v>
      </c>
      <c r="G13">
        <v>0.77053014342931403</v>
      </c>
      <c r="H13">
        <v>2648.0262839665802</v>
      </c>
      <c r="I13">
        <v>997.90798002692395</v>
      </c>
      <c r="J13">
        <v>0.77207115742542398</v>
      </c>
      <c r="L13">
        <v>2643.4967460809398</v>
      </c>
      <c r="M13">
        <v>785.37007697376896</v>
      </c>
      <c r="N13">
        <v>0.76470471354569702</v>
      </c>
      <c r="O13">
        <v>2650.2792381873201</v>
      </c>
      <c r="P13">
        <v>937.36851470581996</v>
      </c>
      <c r="Q13">
        <v>0.76644203632181196</v>
      </c>
      <c r="R13">
        <v>2657.0617302936998</v>
      </c>
      <c r="S13">
        <v>1089.3669524378699</v>
      </c>
      <c r="T13">
        <v>0.768179359097929</v>
      </c>
    </row>
    <row r="14" spans="1:20" x14ac:dyDescent="0.25">
      <c r="A14">
        <v>10</v>
      </c>
      <c r="B14">
        <v>3611.1735846562801</v>
      </c>
      <c r="C14">
        <v>817.63342498636905</v>
      </c>
      <c r="D14">
        <v>0.766604656462478</v>
      </c>
      <c r="E14">
        <v>3614.6231210092901</v>
      </c>
      <c r="F14">
        <v>975.27508708992195</v>
      </c>
      <c r="G14">
        <v>0.76783174998961701</v>
      </c>
      <c r="H14">
        <v>3621.7065962694201</v>
      </c>
      <c r="I14">
        <v>1169.54642498984</v>
      </c>
      <c r="J14">
        <v>0.76939282070950299</v>
      </c>
      <c r="L14">
        <v>3613.02424192947</v>
      </c>
      <c r="M14">
        <v>892.94224561466604</v>
      </c>
      <c r="N14">
        <v>0.76656106559533899</v>
      </c>
      <c r="O14">
        <v>3621.49452616198</v>
      </c>
      <c r="P14">
        <v>1088.1015507530401</v>
      </c>
      <c r="Q14">
        <v>0.76825067040861295</v>
      </c>
      <c r="R14">
        <v>3629.9648103944901</v>
      </c>
      <c r="S14">
        <v>1283.2608558914201</v>
      </c>
      <c r="T14">
        <v>0.76994027522188002</v>
      </c>
    </row>
    <row r="15" spans="1:20" x14ac:dyDescent="0.25">
      <c r="A15">
        <v>10.45</v>
      </c>
      <c r="B15">
        <v>4113.2890603276601</v>
      </c>
      <c r="C15" s="8">
        <v>857.06025420355002</v>
      </c>
      <c r="D15" s="8">
        <v>0.76496343205495698</v>
      </c>
      <c r="E15" s="8">
        <v>4117.3215569040303</v>
      </c>
      <c r="F15">
        <v>1034.81622747095</v>
      </c>
      <c r="G15" s="8">
        <v>0.76615674654020705</v>
      </c>
      <c r="H15" s="8">
        <v>4125.3859523928204</v>
      </c>
      <c r="I15" s="8">
        <v>1251.0682890980599</v>
      </c>
      <c r="J15">
        <v>0.76769404192719104</v>
      </c>
      <c r="L15">
        <v>4115.8651817259697</v>
      </c>
      <c r="M15" s="8">
        <v>943.42489182239399</v>
      </c>
      <c r="N15" s="8">
        <v>0.76446638636153996</v>
      </c>
      <c r="O15" s="8">
        <v>4124.3370181308801</v>
      </c>
      <c r="P15">
        <v>1155.5477774015001</v>
      </c>
      <c r="Q15" s="8">
        <v>0.76604231103809906</v>
      </c>
      <c r="R15" s="8">
        <v>4132.8088545357896</v>
      </c>
      <c r="S15" s="8">
        <v>1367.6706629805999</v>
      </c>
      <c r="T15">
        <v>0.76761823571465204</v>
      </c>
    </row>
    <row r="16" spans="1:20" x14ac:dyDescent="0.25">
      <c r="A16">
        <v>11</v>
      </c>
      <c r="B16">
        <v>4796.5967048233697</v>
      </c>
      <c r="C16">
        <v>914.32835531820604</v>
      </c>
      <c r="D16">
        <v>0.74529051138044</v>
      </c>
      <c r="E16">
        <v>4799.0526816380398</v>
      </c>
      <c r="F16">
        <v>1105.4237106038699</v>
      </c>
      <c r="G16">
        <v>0.74621294417142203</v>
      </c>
      <c r="H16">
        <v>4805.7575783073298</v>
      </c>
      <c r="I16">
        <v>1337.00057727382</v>
      </c>
      <c r="J16">
        <v>0.747403193906373</v>
      </c>
      <c r="L16">
        <v>4791.7924981257402</v>
      </c>
      <c r="M16">
        <v>1001.22589139365</v>
      </c>
      <c r="N16">
        <v>0.75119901249830001</v>
      </c>
      <c r="O16">
        <v>4799.1572335234696</v>
      </c>
      <c r="P16">
        <v>1229.88280887313</v>
      </c>
      <c r="Q16">
        <v>0.752476049786164</v>
      </c>
      <c r="R16">
        <v>4806.5219689211899</v>
      </c>
      <c r="S16">
        <v>1458.5397263526099</v>
      </c>
      <c r="T16">
        <v>0.75375308707402</v>
      </c>
    </row>
    <row r="17" spans="1:20" x14ac:dyDescent="0.25">
      <c r="A17">
        <v>11.4</v>
      </c>
      <c r="B17">
        <v>5327.3936239043396</v>
      </c>
      <c r="C17">
        <v>947.49488845555595</v>
      </c>
      <c r="D17">
        <v>0.73115127500628097</v>
      </c>
      <c r="E17">
        <v>5327.0492054420401</v>
      </c>
      <c r="F17">
        <v>1139.92647409604</v>
      </c>
      <c r="G17">
        <v>0.73177218162651403</v>
      </c>
      <c r="H17">
        <v>5331.3860785175302</v>
      </c>
      <c r="I17">
        <v>1374.78349988171</v>
      </c>
      <c r="J17">
        <v>0.73262692098478899</v>
      </c>
      <c r="L17">
        <v>5328.6196779864504</v>
      </c>
      <c r="M17">
        <v>1036.92616652164</v>
      </c>
      <c r="N17">
        <v>0.72838039770474206</v>
      </c>
      <c r="O17">
        <v>5334.1427979609798</v>
      </c>
      <c r="P17">
        <v>1273.5066685138599</v>
      </c>
      <c r="Q17">
        <v>0.729281728534658</v>
      </c>
      <c r="R17">
        <v>5339.6659179355001</v>
      </c>
      <c r="S17">
        <v>1510.0871705060799</v>
      </c>
      <c r="T17">
        <v>0.73018305936456596</v>
      </c>
    </row>
    <row r="18" spans="1:20" x14ac:dyDescent="0.25">
      <c r="B18" s="13" t="s">
        <v>50</v>
      </c>
      <c r="C18" s="13"/>
      <c r="D18" s="13"/>
      <c r="E18" s="13"/>
      <c r="F18" s="13"/>
      <c r="G18" s="13"/>
      <c r="H18" s="13"/>
      <c r="I18" s="13"/>
      <c r="J18" s="13"/>
      <c r="L18" s="13" t="s">
        <v>50</v>
      </c>
      <c r="M18" s="13"/>
      <c r="N18" s="13"/>
      <c r="O18" s="13"/>
      <c r="P18" s="13"/>
      <c r="Q18" s="13"/>
      <c r="R18" s="13"/>
      <c r="S18" s="13"/>
      <c r="T18" s="13"/>
    </row>
    <row r="19" spans="1:20" x14ac:dyDescent="0.25">
      <c r="B19" s="13" t="s">
        <v>46</v>
      </c>
      <c r="C19" s="13"/>
      <c r="D19" s="13"/>
      <c r="E19" s="13" t="s">
        <v>47</v>
      </c>
      <c r="F19" s="13"/>
      <c r="G19" s="13"/>
      <c r="H19" s="13" t="s">
        <v>48</v>
      </c>
      <c r="I19" s="13"/>
      <c r="J19" s="13"/>
      <c r="L19" s="13" t="s">
        <v>46</v>
      </c>
      <c r="M19" s="13"/>
      <c r="N19" s="13"/>
      <c r="O19" s="13" t="s">
        <v>47</v>
      </c>
      <c r="P19" s="13"/>
      <c r="Q19" s="13"/>
      <c r="R19" s="13" t="s">
        <v>48</v>
      </c>
      <c r="S19" s="13"/>
      <c r="T19" s="13"/>
    </row>
    <row r="20" spans="1:20" x14ac:dyDescent="0.25">
      <c r="B20" t="s">
        <v>41</v>
      </c>
      <c r="C20" t="s">
        <v>43</v>
      </c>
      <c r="D20" t="s">
        <v>7</v>
      </c>
      <c r="E20" t="s">
        <v>41</v>
      </c>
      <c r="F20" t="s">
        <v>43</v>
      </c>
      <c r="G20" t="s">
        <v>7</v>
      </c>
      <c r="H20" t="s">
        <v>41</v>
      </c>
      <c r="I20" t="s">
        <v>43</v>
      </c>
      <c r="J20" t="s">
        <v>7</v>
      </c>
      <c r="L20" t="s">
        <v>41</v>
      </c>
      <c r="M20" t="s">
        <v>43</v>
      </c>
      <c r="N20" t="s">
        <v>7</v>
      </c>
      <c r="O20" t="s">
        <v>41</v>
      </c>
      <c r="P20" t="s">
        <v>43</v>
      </c>
      <c r="Q20" t="s">
        <v>7</v>
      </c>
      <c r="R20" t="s">
        <v>41</v>
      </c>
      <c r="S20" t="s">
        <v>43</v>
      </c>
      <c r="T20" t="s">
        <v>7</v>
      </c>
    </row>
    <row r="21" spans="1:20" x14ac:dyDescent="0.25">
      <c r="A21">
        <v>3</v>
      </c>
      <c r="B21" t="s">
        <v>49</v>
      </c>
      <c r="C21" t="s">
        <v>49</v>
      </c>
      <c r="D21" t="s">
        <v>49</v>
      </c>
      <c r="E21" t="s">
        <v>49</v>
      </c>
      <c r="F21" t="s">
        <v>49</v>
      </c>
      <c r="G21" t="s">
        <v>49</v>
      </c>
      <c r="H21">
        <v>30.575836026491402</v>
      </c>
      <c r="I21">
        <v>880.43686870834495</v>
      </c>
      <c r="J21">
        <v>0.71090680388438499</v>
      </c>
      <c r="L21">
        <v>35.225317202969798</v>
      </c>
      <c r="M21">
        <v>879.26088050114004</v>
      </c>
      <c r="N21">
        <v>0.709152110397817</v>
      </c>
      <c r="O21">
        <v>32.188585852632201</v>
      </c>
      <c r="P21">
        <v>880.56522515898905</v>
      </c>
      <c r="Q21">
        <v>0.70962958705120605</v>
      </c>
      <c r="R21">
        <v>29.151854502294501</v>
      </c>
      <c r="S21">
        <v>881.86956981683795</v>
      </c>
      <c r="T21">
        <v>0.71010706370459398</v>
      </c>
    </row>
    <row r="22" spans="1:20" x14ac:dyDescent="0.25">
      <c r="A22">
        <v>4</v>
      </c>
      <c r="B22">
        <v>176.77150453280001</v>
      </c>
      <c r="C22">
        <v>787.13501612997004</v>
      </c>
      <c r="D22">
        <v>0.71388573414198297</v>
      </c>
      <c r="E22">
        <v>176.90318547075699</v>
      </c>
      <c r="F22">
        <v>792.00921985616503</v>
      </c>
      <c r="G22">
        <v>0.71926454192070099</v>
      </c>
      <c r="H22">
        <v>175.77338574460501</v>
      </c>
      <c r="I22">
        <v>800.63530703482502</v>
      </c>
      <c r="J22">
        <v>0.71684324246126896</v>
      </c>
      <c r="L22">
        <v>174.37340371282701</v>
      </c>
      <c r="M22">
        <v>785.74329669606698</v>
      </c>
      <c r="N22">
        <v>0.71554379249597699</v>
      </c>
      <c r="O22">
        <v>174.471248039523</v>
      </c>
      <c r="P22">
        <v>795.870169128322</v>
      </c>
      <c r="Q22">
        <v>0.71667825372239002</v>
      </c>
      <c r="R22">
        <v>174.569092366219</v>
      </c>
      <c r="S22">
        <v>805.99704156057601</v>
      </c>
      <c r="T22">
        <v>0.71781271494880206</v>
      </c>
    </row>
    <row r="23" spans="1:20" x14ac:dyDescent="0.25">
      <c r="A23">
        <v>5</v>
      </c>
      <c r="B23">
        <v>400.71685132553699</v>
      </c>
      <c r="C23">
        <v>713.05160163162304</v>
      </c>
      <c r="D23">
        <v>0.69780914058288501</v>
      </c>
      <c r="E23">
        <v>400.84738672058899</v>
      </c>
      <c r="F23">
        <v>724.35982241554996</v>
      </c>
      <c r="G23">
        <v>0.69942980131704902</v>
      </c>
      <c r="H23">
        <v>402.882043689672</v>
      </c>
      <c r="I23">
        <v>740.31911065018301</v>
      </c>
      <c r="J23">
        <v>0.70282487076144096</v>
      </c>
      <c r="L23">
        <v>402.61320821931503</v>
      </c>
      <c r="M23">
        <v>717.29267704757899</v>
      </c>
      <c r="N23">
        <v>0.69969052049724501</v>
      </c>
      <c r="O23">
        <v>403.82204766932603</v>
      </c>
      <c r="P23">
        <v>735.97384496628194</v>
      </c>
      <c r="Q23">
        <v>0.70109668414573101</v>
      </c>
      <c r="R23">
        <v>405.03088711933702</v>
      </c>
      <c r="S23">
        <v>754.65501288498604</v>
      </c>
      <c r="T23">
        <v>0.70250284779421601</v>
      </c>
    </row>
    <row r="24" spans="1:20" x14ac:dyDescent="0.25">
      <c r="A24">
        <v>6</v>
      </c>
      <c r="B24">
        <v>725.70236055302996</v>
      </c>
      <c r="C24">
        <v>665.65585870928396</v>
      </c>
      <c r="D24">
        <v>0.67500190493092405</v>
      </c>
      <c r="E24">
        <v>722.25924300261602</v>
      </c>
      <c r="F24">
        <v>689.48084504961105</v>
      </c>
      <c r="G24">
        <v>0.67348483730369002</v>
      </c>
      <c r="H24">
        <v>726.39457895893702</v>
      </c>
      <c r="I24">
        <v>722.58173532614796</v>
      </c>
      <c r="J24">
        <v>0.67673963366346601</v>
      </c>
      <c r="L24">
        <v>723.840633671467</v>
      </c>
      <c r="M24">
        <v>678.08874513839805</v>
      </c>
      <c r="N24">
        <v>0.67332800944378501</v>
      </c>
      <c r="O24">
        <v>725.371047897067</v>
      </c>
      <c r="P24">
        <v>711.24552705841904</v>
      </c>
      <c r="Q24">
        <v>0.67471139301703398</v>
      </c>
      <c r="R24">
        <v>726.901462122667</v>
      </c>
      <c r="S24">
        <v>744.40230897844003</v>
      </c>
      <c r="T24">
        <v>0.67609477659028405</v>
      </c>
    </row>
    <row r="25" spans="1:20" x14ac:dyDescent="0.25">
      <c r="A25">
        <v>7</v>
      </c>
      <c r="B25">
        <v>1156.3405118195001</v>
      </c>
      <c r="C25">
        <v>650.91264999559303</v>
      </c>
      <c r="D25">
        <v>0.647495567322801</v>
      </c>
      <c r="E25">
        <v>1156.11611266618</v>
      </c>
      <c r="F25">
        <v>692.13162303195895</v>
      </c>
      <c r="G25">
        <v>0.64823941624098103</v>
      </c>
      <c r="H25">
        <v>1158.0382147904299</v>
      </c>
      <c r="I25">
        <v>749.71018949085601</v>
      </c>
      <c r="J25">
        <v>0.64921165895062904</v>
      </c>
      <c r="L25">
        <v>1155.96430182483</v>
      </c>
      <c r="M25">
        <v>672.43753796802002</v>
      </c>
      <c r="N25">
        <v>0.64772178559601201</v>
      </c>
      <c r="O25">
        <v>1157.9362050827499</v>
      </c>
      <c r="P25">
        <v>729.34936148879501</v>
      </c>
      <c r="Q25">
        <v>0.64888723133800297</v>
      </c>
      <c r="R25">
        <v>1159.90810834067</v>
      </c>
      <c r="S25">
        <v>786.26118500956898</v>
      </c>
      <c r="T25">
        <v>0.65005267707999403</v>
      </c>
    </row>
    <row r="26" spans="1:20" x14ac:dyDescent="0.25">
      <c r="A26">
        <v>7.84</v>
      </c>
      <c r="B26">
        <v>1623.35507259818</v>
      </c>
      <c r="C26">
        <v>674.47404086098902</v>
      </c>
      <c r="D26">
        <v>0.63083505288636998</v>
      </c>
      <c r="E26">
        <v>1620.62989323643</v>
      </c>
      <c r="F26">
        <v>733.44392159705706</v>
      </c>
      <c r="G26">
        <v>0.63027431074208795</v>
      </c>
      <c r="H26">
        <v>1621.51606078912</v>
      </c>
      <c r="I26">
        <v>813.91107076054595</v>
      </c>
      <c r="J26">
        <v>0.63044096392610305</v>
      </c>
      <c r="L26">
        <v>1622.4493617687999</v>
      </c>
      <c r="M26">
        <v>695.43945437145805</v>
      </c>
      <c r="N26">
        <v>0.63293325637311704</v>
      </c>
      <c r="O26">
        <v>1625.32190847437</v>
      </c>
      <c r="P26">
        <v>779.94481340254094</v>
      </c>
      <c r="Q26">
        <v>0.63384346815953496</v>
      </c>
      <c r="R26">
        <v>1628.1944551799299</v>
      </c>
      <c r="S26">
        <v>864.45017243362599</v>
      </c>
      <c r="T26">
        <v>0.634753679945953</v>
      </c>
    </row>
    <row r="27" spans="1:20" x14ac:dyDescent="0.25">
      <c r="A27">
        <v>8</v>
      </c>
      <c r="B27">
        <v>1727.25486340316</v>
      </c>
      <c r="C27">
        <v>678.37363433378596</v>
      </c>
      <c r="D27">
        <v>0.63130986790771004</v>
      </c>
      <c r="E27">
        <v>1725.2251219765601</v>
      </c>
      <c r="F27">
        <v>741.91600500359402</v>
      </c>
      <c r="G27">
        <v>0.63118707409957298</v>
      </c>
      <c r="H27">
        <v>1724.43167171561</v>
      </c>
      <c r="I27">
        <v>828.33809582650701</v>
      </c>
      <c r="J27">
        <v>0.63062858235165098</v>
      </c>
      <c r="L27">
        <v>1723.3413143221901</v>
      </c>
      <c r="M27">
        <v>702.68335255373495</v>
      </c>
      <c r="N27">
        <v>0.63105598561667398</v>
      </c>
      <c r="O27">
        <v>1726.45912987207</v>
      </c>
      <c r="P27">
        <v>793.156312641005</v>
      </c>
      <c r="Q27">
        <v>0.63191618560031304</v>
      </c>
      <c r="R27">
        <v>1729.5769454219401</v>
      </c>
      <c r="S27">
        <v>883.62927272827505</v>
      </c>
      <c r="T27">
        <v>0.632776385583951</v>
      </c>
    </row>
    <row r="28" spans="1:20" x14ac:dyDescent="0.25">
      <c r="A28">
        <v>9</v>
      </c>
      <c r="B28" s="9">
        <v>2453.9794890968201</v>
      </c>
      <c r="C28" s="8">
        <v>724.81675078440298</v>
      </c>
      <c r="D28" s="8">
        <v>0.629531505240984</v>
      </c>
      <c r="E28" s="4">
        <v>2442.4414866573302</v>
      </c>
      <c r="F28">
        <v>821.47290562890305</v>
      </c>
      <c r="G28">
        <v>0.62717954774444595</v>
      </c>
      <c r="H28">
        <v>2458.29578980008</v>
      </c>
      <c r="I28">
        <v>948.66023786387905</v>
      </c>
      <c r="J28">
        <v>0.63051477993698701</v>
      </c>
      <c r="L28" s="9">
        <v>2449.2130137742602</v>
      </c>
      <c r="M28" s="8">
        <v>767.12069253163702</v>
      </c>
      <c r="N28" s="8">
        <v>0.62582215575492595</v>
      </c>
      <c r="O28" s="4">
        <v>2454.44084827712</v>
      </c>
      <c r="P28">
        <v>898.65610979919302</v>
      </c>
      <c r="Q28">
        <v>0.62640617696969203</v>
      </c>
      <c r="R28">
        <v>2459.6686827799799</v>
      </c>
      <c r="S28">
        <v>1030.19152706675</v>
      </c>
      <c r="T28">
        <v>0.626990198184457</v>
      </c>
    </row>
    <row r="29" spans="1:20" x14ac:dyDescent="0.25">
      <c r="A29">
        <v>10</v>
      </c>
      <c r="B29">
        <v>3350.9058597665598</v>
      </c>
      <c r="C29">
        <v>796.53916485596994</v>
      </c>
      <c r="D29">
        <v>0.62644365772376698</v>
      </c>
      <c r="E29">
        <v>3358.6359299785399</v>
      </c>
      <c r="F29">
        <v>930.59549948783297</v>
      </c>
      <c r="G29">
        <v>0.62782606942775798</v>
      </c>
      <c r="H29">
        <v>3359.8816349712802</v>
      </c>
      <c r="I29">
        <v>1102.8604494499</v>
      </c>
      <c r="J29">
        <v>0.62759345367496</v>
      </c>
      <c r="L29">
        <v>3348.1407448404202</v>
      </c>
      <c r="M29">
        <v>857.90621475764499</v>
      </c>
      <c r="N29">
        <v>0.62620805103041</v>
      </c>
      <c r="O29">
        <v>3356.3775627571299</v>
      </c>
      <c r="P29">
        <v>1032.8691937490601</v>
      </c>
      <c r="Q29">
        <v>0.62666986046999695</v>
      </c>
      <c r="R29">
        <v>3364.6143806738301</v>
      </c>
      <c r="S29">
        <v>1207.83217274048</v>
      </c>
      <c r="T29">
        <v>0.62713166990958402</v>
      </c>
    </row>
    <row r="30" spans="1:20" x14ac:dyDescent="0.25">
      <c r="A30">
        <v>10.45</v>
      </c>
      <c r="B30">
        <v>3809.9292654087399</v>
      </c>
      <c r="C30">
        <v>830.59058839416105</v>
      </c>
      <c r="D30">
        <v>0.62392599004358196</v>
      </c>
      <c r="E30">
        <v>3807.1947612576901</v>
      </c>
      <c r="F30">
        <v>984.29940123848905</v>
      </c>
      <c r="G30">
        <v>0.62373659465106202</v>
      </c>
      <c r="H30">
        <v>3818.1602089427602</v>
      </c>
      <c r="I30">
        <v>1178.9198817526101</v>
      </c>
      <c r="J30">
        <v>0.62490475482778896</v>
      </c>
      <c r="L30">
        <v>3809.4556894782399</v>
      </c>
      <c r="M30">
        <v>903.42848469036505</v>
      </c>
      <c r="N30">
        <v>0.624224255061815</v>
      </c>
      <c r="O30">
        <v>3819.2478350770298</v>
      </c>
      <c r="P30">
        <v>1096.6863293025999</v>
      </c>
      <c r="Q30">
        <v>0.62471653806425997</v>
      </c>
      <c r="R30">
        <v>3829.0399806758201</v>
      </c>
      <c r="S30">
        <v>1289.9441739148399</v>
      </c>
      <c r="T30">
        <v>0.62520882106670395</v>
      </c>
    </row>
    <row r="31" spans="1:20" x14ac:dyDescent="0.25">
      <c r="A31">
        <v>11</v>
      </c>
      <c r="B31">
        <v>4406.31231829424</v>
      </c>
      <c r="C31">
        <v>881.76980944440504</v>
      </c>
      <c r="D31">
        <v>0.61087953318597898</v>
      </c>
      <c r="E31">
        <v>4411.57901423765</v>
      </c>
      <c r="F31">
        <v>1052.8998073534101</v>
      </c>
      <c r="G31">
        <v>0.61149768182825004</v>
      </c>
      <c r="H31">
        <v>4425.2106991077499</v>
      </c>
      <c r="I31">
        <v>1267.1456274965201</v>
      </c>
      <c r="J31">
        <v>0.61257763782007302</v>
      </c>
      <c r="L31">
        <v>4418.4416153094398</v>
      </c>
      <c r="M31">
        <v>958.97067590851998</v>
      </c>
      <c r="N31">
        <v>0.61548643441733097</v>
      </c>
      <c r="O31">
        <v>4430.1964132991498</v>
      </c>
      <c r="P31">
        <v>1171.7586633789001</v>
      </c>
      <c r="Q31">
        <v>0.61611342416729298</v>
      </c>
      <c r="R31">
        <v>4441.9512112888697</v>
      </c>
      <c r="S31">
        <v>1384.54665084928</v>
      </c>
      <c r="T31">
        <v>0.61674041391725698</v>
      </c>
    </row>
    <row r="32" spans="1:20" x14ac:dyDescent="0.25">
      <c r="A32">
        <v>11.4</v>
      </c>
      <c r="B32">
        <v>4873.6433672509802</v>
      </c>
      <c r="C32">
        <v>916.42993496428403</v>
      </c>
      <c r="D32">
        <v>0.60181438781371199</v>
      </c>
      <c r="E32">
        <v>4889.9743823408598</v>
      </c>
      <c r="F32">
        <v>1093.1056549990999</v>
      </c>
      <c r="G32">
        <v>0.60356583539545094</v>
      </c>
      <c r="H32">
        <v>4898.30753810653</v>
      </c>
      <c r="I32">
        <v>1314.29024943483</v>
      </c>
      <c r="J32">
        <v>0.60375951511530901</v>
      </c>
      <c r="L32">
        <v>4889.8091686149701</v>
      </c>
      <c r="M32">
        <v>996.75898384619995</v>
      </c>
      <c r="N32">
        <v>0.60182505694496402</v>
      </c>
      <c r="O32">
        <v>4902.9644781163397</v>
      </c>
      <c r="P32">
        <v>1220.78439795182</v>
      </c>
      <c r="Q32">
        <v>0.60263009900029496</v>
      </c>
      <c r="R32">
        <v>4916.1197876177102</v>
      </c>
      <c r="S32">
        <v>1444.80981205744</v>
      </c>
      <c r="T32">
        <v>0.60343514105562801</v>
      </c>
    </row>
    <row r="33" spans="1:20" x14ac:dyDescent="0.25">
      <c r="B33" s="13" t="s">
        <v>51</v>
      </c>
      <c r="C33" s="13"/>
      <c r="D33" s="13"/>
      <c r="E33" s="13"/>
      <c r="F33" s="13"/>
      <c r="G33" s="13"/>
      <c r="H33" s="13"/>
      <c r="I33" s="13"/>
      <c r="J33" s="13"/>
      <c r="L33" s="13" t="s">
        <v>51</v>
      </c>
      <c r="M33" s="13"/>
      <c r="N33" s="13"/>
      <c r="O33" s="13"/>
      <c r="P33" s="13"/>
      <c r="Q33" s="13"/>
      <c r="R33" s="13"/>
      <c r="S33" s="13"/>
      <c r="T33" s="13"/>
    </row>
    <row r="34" spans="1:20" x14ac:dyDescent="0.25">
      <c r="B34" s="13" t="s">
        <v>46</v>
      </c>
      <c r="C34" s="13"/>
      <c r="D34" s="13"/>
      <c r="E34" s="13" t="s">
        <v>47</v>
      </c>
      <c r="F34" s="13"/>
      <c r="G34" s="13"/>
      <c r="H34" s="13" t="s">
        <v>48</v>
      </c>
      <c r="I34" s="13"/>
      <c r="J34" s="13"/>
      <c r="L34" s="13" t="s">
        <v>46</v>
      </c>
      <c r="M34" s="13"/>
      <c r="N34" s="13"/>
      <c r="O34" s="13" t="s">
        <v>47</v>
      </c>
      <c r="P34" s="13"/>
      <c r="Q34" s="13"/>
      <c r="R34" s="13" t="s">
        <v>48</v>
      </c>
      <c r="S34" s="13"/>
      <c r="T34" s="13"/>
    </row>
    <row r="35" spans="1:20" x14ac:dyDescent="0.25">
      <c r="B35" t="s">
        <v>41</v>
      </c>
      <c r="C35" t="s">
        <v>43</v>
      </c>
      <c r="D35" t="s">
        <v>7</v>
      </c>
      <c r="E35" t="s">
        <v>41</v>
      </c>
      <c r="F35" t="s">
        <v>43</v>
      </c>
      <c r="G35" t="s">
        <v>7</v>
      </c>
      <c r="H35" t="s">
        <v>41</v>
      </c>
      <c r="I35" t="s">
        <v>43</v>
      </c>
      <c r="J35" t="s">
        <v>7</v>
      </c>
      <c r="L35" t="s">
        <v>41</v>
      </c>
      <c r="M35" t="s">
        <v>43</v>
      </c>
      <c r="N35" t="s">
        <v>7</v>
      </c>
      <c r="O35" t="s">
        <v>41</v>
      </c>
      <c r="P35" t="s">
        <v>43</v>
      </c>
      <c r="Q35" t="s">
        <v>7</v>
      </c>
      <c r="R35" t="s">
        <v>41</v>
      </c>
      <c r="S35" t="s">
        <v>43</v>
      </c>
      <c r="T35" t="s">
        <v>7</v>
      </c>
    </row>
    <row r="36" spans="1:20" x14ac:dyDescent="0.25">
      <c r="A36">
        <v>3</v>
      </c>
      <c r="B36" t="s">
        <v>49</v>
      </c>
      <c r="C36" t="s">
        <v>49</v>
      </c>
      <c r="D36" t="s">
        <v>49</v>
      </c>
      <c r="E36" t="s">
        <v>49</v>
      </c>
      <c r="F36" t="s">
        <v>49</v>
      </c>
      <c r="G36" t="s">
        <v>49</v>
      </c>
      <c r="H36" t="s">
        <v>49</v>
      </c>
      <c r="I36" t="s">
        <v>49</v>
      </c>
      <c r="J36" t="s">
        <v>49</v>
      </c>
      <c r="L36">
        <v>2070.4537616252401</v>
      </c>
      <c r="M36">
        <v>1602.6807665399499</v>
      </c>
      <c r="N36">
        <v>0.300701972016923</v>
      </c>
      <c r="O36">
        <v>1952.5609916503299</v>
      </c>
      <c r="P36">
        <v>1303.4575890057699</v>
      </c>
      <c r="Q36">
        <v>0.29042986770016799</v>
      </c>
      <c r="R36">
        <v>1834.66822167542</v>
      </c>
      <c r="S36">
        <v>1004.2344114716</v>
      </c>
      <c r="T36">
        <v>0.28015776338341403</v>
      </c>
    </row>
    <row r="37" spans="1:20" x14ac:dyDescent="0.25">
      <c r="A37">
        <v>4</v>
      </c>
      <c r="B37" t="s">
        <v>49</v>
      </c>
      <c r="C37" t="s">
        <v>49</v>
      </c>
      <c r="D37" t="s">
        <v>49</v>
      </c>
      <c r="E37" t="s">
        <v>49</v>
      </c>
      <c r="F37" t="s">
        <v>49</v>
      </c>
      <c r="G37" t="s">
        <v>49</v>
      </c>
      <c r="H37" t="s">
        <v>49</v>
      </c>
      <c r="I37" t="s">
        <v>49</v>
      </c>
      <c r="J37" t="s">
        <v>49</v>
      </c>
      <c r="L37">
        <v>769.28402594417196</v>
      </c>
      <c r="M37">
        <v>1097.8946495898399</v>
      </c>
      <c r="N37">
        <v>0.397727773148432</v>
      </c>
      <c r="O37">
        <v>718.25247370795705</v>
      </c>
      <c r="P37">
        <v>980.80252213328004</v>
      </c>
      <c r="Q37">
        <v>0.39335619103916297</v>
      </c>
      <c r="R37">
        <v>667.22092147174897</v>
      </c>
      <c r="S37">
        <v>863.71039467672301</v>
      </c>
      <c r="T37">
        <v>0.388984608929895</v>
      </c>
    </row>
    <row r="38" spans="1:20" x14ac:dyDescent="0.25">
      <c r="A38">
        <v>5</v>
      </c>
      <c r="B38" t="s">
        <v>49</v>
      </c>
      <c r="C38" t="s">
        <v>49</v>
      </c>
      <c r="D38" t="s">
        <v>49</v>
      </c>
      <c r="E38" t="s">
        <v>49</v>
      </c>
      <c r="F38" t="s">
        <v>49</v>
      </c>
      <c r="G38" t="s">
        <v>49</v>
      </c>
      <c r="H38" t="s">
        <v>49</v>
      </c>
      <c r="I38" t="s">
        <v>49</v>
      </c>
      <c r="J38" t="s">
        <v>49</v>
      </c>
      <c r="L38">
        <v>412.20625168948698</v>
      </c>
      <c r="M38">
        <v>856.29197145364799</v>
      </c>
      <c r="N38">
        <v>0.44569353073927598</v>
      </c>
      <c r="O38">
        <v>396.013677451109</v>
      </c>
      <c r="P38">
        <v>831.18054756257197</v>
      </c>
      <c r="Q38">
        <v>0.44433260326983798</v>
      </c>
      <c r="R38">
        <v>379.82110321273598</v>
      </c>
      <c r="S38">
        <v>806.06912367149698</v>
      </c>
      <c r="T38">
        <v>0.44297167580039998</v>
      </c>
    </row>
    <row r="39" spans="1:20" x14ac:dyDescent="0.25">
      <c r="A39">
        <v>6</v>
      </c>
      <c r="B39">
        <v>546.13959465477706</v>
      </c>
      <c r="C39">
        <v>743.48385399337099</v>
      </c>
      <c r="D39">
        <v>0.46509016631244599</v>
      </c>
      <c r="E39" t="s">
        <v>49</v>
      </c>
      <c r="F39" t="s">
        <v>49</v>
      </c>
      <c r="G39" t="s">
        <v>49</v>
      </c>
      <c r="H39">
        <v>546.49628449100805</v>
      </c>
      <c r="I39">
        <v>780.88879278696004</v>
      </c>
      <c r="J39">
        <v>0.46545597145648399</v>
      </c>
      <c r="L39">
        <v>547.74428273313004</v>
      </c>
      <c r="M39">
        <v>753.20727953816004</v>
      </c>
      <c r="N39">
        <v>0.46543611916955102</v>
      </c>
      <c r="O39">
        <v>545.88593828318199</v>
      </c>
      <c r="P39">
        <v>771.56877272717998</v>
      </c>
      <c r="Q39">
        <v>0.46523511063273199</v>
      </c>
      <c r="R39">
        <v>544.02759383323598</v>
      </c>
      <c r="S39">
        <v>789.93026591620003</v>
      </c>
      <c r="T39">
        <v>0.465034102095914</v>
      </c>
    </row>
    <row r="40" spans="1:20" x14ac:dyDescent="0.25">
      <c r="A40">
        <v>7</v>
      </c>
      <c r="B40">
        <v>921.47860638444297</v>
      </c>
      <c r="C40">
        <v>704.03554481809999</v>
      </c>
      <c r="D40">
        <v>0.472401604145124</v>
      </c>
      <c r="E40" t="s">
        <v>49</v>
      </c>
      <c r="F40" t="s">
        <v>49</v>
      </c>
      <c r="G40" t="s">
        <v>49</v>
      </c>
      <c r="H40" t="s">
        <v>49</v>
      </c>
      <c r="I40" t="s">
        <v>49</v>
      </c>
      <c r="J40" t="s">
        <v>49</v>
      </c>
      <c r="L40">
        <v>915.41586116505198</v>
      </c>
      <c r="M40">
        <v>719.76948328114395</v>
      </c>
      <c r="N40">
        <v>0.471107339540415</v>
      </c>
      <c r="O40">
        <v>916.76464920874798</v>
      </c>
      <c r="P40">
        <v>763.72109877178605</v>
      </c>
      <c r="Q40">
        <v>0.47106170275575399</v>
      </c>
      <c r="R40">
        <v>918.11343725246104</v>
      </c>
      <c r="S40">
        <v>807.67271426243099</v>
      </c>
      <c r="T40">
        <v>0.47101606597109302</v>
      </c>
    </row>
    <row r="41" spans="1:20" x14ac:dyDescent="0.25">
      <c r="A41">
        <v>7.84</v>
      </c>
      <c r="B41">
        <v>1305.94008571925</v>
      </c>
      <c r="C41">
        <v>706.25544366644203</v>
      </c>
      <c r="D41">
        <v>0.46858018280511299</v>
      </c>
      <c r="E41">
        <v>1316.5046686276801</v>
      </c>
      <c r="F41">
        <v>751.63305438605198</v>
      </c>
      <c r="G41">
        <v>0.47143001268169599</v>
      </c>
      <c r="H41">
        <v>1325.41095666458</v>
      </c>
      <c r="I41">
        <v>814.71170218323903</v>
      </c>
      <c r="J41">
        <v>0.47381962392822202</v>
      </c>
      <c r="L41">
        <v>1315.9694171757501</v>
      </c>
      <c r="M41">
        <v>723.02584877542495</v>
      </c>
      <c r="N41">
        <v>0.47141842532749301</v>
      </c>
      <c r="O41">
        <v>1316.7708608599301</v>
      </c>
      <c r="P41">
        <v>789.32023149388999</v>
      </c>
      <c r="Q41">
        <v>0.47121053665513002</v>
      </c>
      <c r="R41">
        <v>1317.57230454413</v>
      </c>
      <c r="S41">
        <v>855.61461421236004</v>
      </c>
      <c r="T41">
        <v>0.47100264798276797</v>
      </c>
    </row>
    <row r="42" spans="1:20" x14ac:dyDescent="0.25">
      <c r="A42">
        <v>8</v>
      </c>
      <c r="B42" t="s">
        <v>49</v>
      </c>
      <c r="C42" t="s">
        <v>49</v>
      </c>
      <c r="D42" t="s">
        <v>49</v>
      </c>
      <c r="E42">
        <v>1394.59030262075</v>
      </c>
      <c r="F42">
        <v>756.79497163267695</v>
      </c>
      <c r="G42">
        <v>0.47031322759035699</v>
      </c>
      <c r="H42">
        <v>1404.76674994427</v>
      </c>
      <c r="I42">
        <v>825.79099564766</v>
      </c>
      <c r="J42">
        <v>0.47261625558908898</v>
      </c>
      <c r="L42">
        <v>1399.75506398316</v>
      </c>
      <c r="M42">
        <v>726.31053133697196</v>
      </c>
      <c r="N42">
        <v>0.47129689042422201</v>
      </c>
      <c r="O42">
        <v>1400.4216975235299</v>
      </c>
      <c r="P42">
        <v>797.57689773783</v>
      </c>
      <c r="Q42">
        <v>0.471055323404309</v>
      </c>
      <c r="R42">
        <v>1401.0883310639199</v>
      </c>
      <c r="S42">
        <v>868.84326413867598</v>
      </c>
      <c r="T42">
        <v>0.47081375638439599</v>
      </c>
    </row>
    <row r="43" spans="1:20" x14ac:dyDescent="0.25">
      <c r="A43">
        <v>9</v>
      </c>
      <c r="B43">
        <v>1984.44874260248</v>
      </c>
      <c r="C43">
        <v>732.30210356062196</v>
      </c>
      <c r="D43">
        <v>0.47004054667866502</v>
      </c>
      <c r="E43">
        <v>1978.6652777950301</v>
      </c>
      <c r="F43">
        <v>811.42353497167403</v>
      </c>
      <c r="G43">
        <v>0.46915172691019402</v>
      </c>
      <c r="H43">
        <v>1988.69568061732</v>
      </c>
      <c r="I43">
        <v>917.90277923921099</v>
      </c>
      <c r="J43">
        <v>0.47018648409519898</v>
      </c>
      <c r="L43">
        <v>1984.33473978302</v>
      </c>
      <c r="M43">
        <v>765.77408876231505</v>
      </c>
      <c r="N43">
        <v>0.47015533861462899</v>
      </c>
      <c r="O43">
        <v>1985.5279015040101</v>
      </c>
      <c r="P43">
        <v>874.66968974920201</v>
      </c>
      <c r="Q43">
        <v>0.469826841231412</v>
      </c>
      <c r="R43">
        <v>1986.7210632250101</v>
      </c>
      <c r="S43">
        <v>983.56529073606498</v>
      </c>
      <c r="T43">
        <v>0.469498343848194</v>
      </c>
    </row>
    <row r="44" spans="1:20" x14ac:dyDescent="0.25">
      <c r="A44">
        <v>10</v>
      </c>
      <c r="B44">
        <v>2696.8137133867299</v>
      </c>
      <c r="C44">
        <v>787.74351903907404</v>
      </c>
      <c r="D44">
        <v>0.46615643393463202</v>
      </c>
      <c r="E44">
        <v>2721.6749159330898</v>
      </c>
      <c r="F44">
        <v>903.04981105598495</v>
      </c>
      <c r="G44">
        <v>0.47038796467667399</v>
      </c>
      <c r="H44">
        <v>2708.7842555012699</v>
      </c>
      <c r="I44">
        <v>1053.18130691075</v>
      </c>
      <c r="J44">
        <v>0.46748399310015898</v>
      </c>
      <c r="L44">
        <v>2705.7889454477099</v>
      </c>
      <c r="M44">
        <v>837.12421420181101</v>
      </c>
      <c r="N44">
        <v>0.46851708987673102</v>
      </c>
      <c r="O44">
        <v>2711.6754470974101</v>
      </c>
      <c r="P44">
        <v>991.53582019791395</v>
      </c>
      <c r="Q44">
        <v>0.46847802052781901</v>
      </c>
      <c r="R44">
        <v>2717.5619487471099</v>
      </c>
      <c r="S44">
        <v>1145.9474261939999</v>
      </c>
      <c r="T44">
        <v>0.46843895117890799</v>
      </c>
    </row>
    <row r="45" spans="1:20" x14ac:dyDescent="0.25">
      <c r="A45">
        <v>10.45</v>
      </c>
      <c r="B45">
        <v>3079.7749618271901</v>
      </c>
      <c r="C45">
        <v>814.30160935839399</v>
      </c>
      <c r="D45">
        <v>0.46641723926970102</v>
      </c>
      <c r="E45">
        <v>3081.8192937232802</v>
      </c>
      <c r="F45">
        <v>949.97158682540305</v>
      </c>
      <c r="G45">
        <v>0.46709784128484899</v>
      </c>
      <c r="H45">
        <v>3111.8690900737001</v>
      </c>
      <c r="I45">
        <v>1123.4700270989399</v>
      </c>
      <c r="J45">
        <v>0.47059621256220302</v>
      </c>
      <c r="L45">
        <v>3087.64941081298</v>
      </c>
      <c r="M45">
        <v>877.34892526303304</v>
      </c>
      <c r="N45">
        <v>0.467307760547436</v>
      </c>
      <c r="O45">
        <v>3097.3037538869398</v>
      </c>
      <c r="P45">
        <v>1051.63709549177</v>
      </c>
      <c r="Q45">
        <v>0.46754861624806898</v>
      </c>
      <c r="R45">
        <v>3106.9580969608801</v>
      </c>
      <c r="S45">
        <v>1225.92526572051</v>
      </c>
      <c r="T45">
        <v>0.46778947194870102</v>
      </c>
    </row>
    <row r="46" spans="1:20" x14ac:dyDescent="0.25">
      <c r="A46">
        <v>11</v>
      </c>
      <c r="B46">
        <v>3601.1284326442001</v>
      </c>
      <c r="C46">
        <v>860.21029976089596</v>
      </c>
      <c r="D46">
        <v>0.46393095506693899</v>
      </c>
      <c r="E46">
        <v>3605.19057813577</v>
      </c>
      <c r="F46">
        <v>1011.97419534797</v>
      </c>
      <c r="G46">
        <v>0.46406830223605799</v>
      </c>
      <c r="H46">
        <v>3626.8448761842201</v>
      </c>
      <c r="I46">
        <v>1205.1365134735399</v>
      </c>
      <c r="J46">
        <v>0.46551811113974301</v>
      </c>
      <c r="L46">
        <v>3607.8353828376798</v>
      </c>
      <c r="M46">
        <v>928.75403707374596</v>
      </c>
      <c r="N46">
        <v>0.46502335969716502</v>
      </c>
      <c r="O46">
        <v>3623.4003246114298</v>
      </c>
      <c r="P46">
        <v>1123.12313692978</v>
      </c>
      <c r="Q46">
        <v>0.465724491972133</v>
      </c>
      <c r="R46">
        <v>3638.9652663851698</v>
      </c>
      <c r="S46">
        <v>1317.4922367858101</v>
      </c>
      <c r="T46">
        <v>0.46642562424710099</v>
      </c>
    </row>
    <row r="47" spans="1:20" x14ac:dyDescent="0.25">
      <c r="A47">
        <v>11.4</v>
      </c>
      <c r="B47">
        <v>4017.71455609961</v>
      </c>
      <c r="C47">
        <v>892.33981179341504</v>
      </c>
      <c r="D47">
        <v>0.46221277610525102</v>
      </c>
      <c r="E47">
        <v>4029.4785040280799</v>
      </c>
      <c r="F47">
        <v>1050.49670632331</v>
      </c>
      <c r="G47">
        <v>0.46298708379387299</v>
      </c>
      <c r="H47">
        <v>4076.3372595504902</v>
      </c>
      <c r="I47">
        <v>1252.39692196595</v>
      </c>
      <c r="J47">
        <v>0.467259213215446</v>
      </c>
      <c r="L47">
        <v>4022.65764120943</v>
      </c>
      <c r="M47">
        <v>963.691728248392</v>
      </c>
      <c r="N47">
        <v>0.46257253765678902</v>
      </c>
      <c r="O47">
        <v>4043.2656580462499</v>
      </c>
      <c r="P47">
        <v>1167.37795444631</v>
      </c>
      <c r="Q47">
        <v>0.46367589977865298</v>
      </c>
      <c r="R47">
        <v>4063.8736748830902</v>
      </c>
      <c r="S47">
        <v>1371.0641806441699</v>
      </c>
      <c r="T47">
        <v>0.46477926190051699</v>
      </c>
    </row>
  </sheetData>
  <mergeCells count="26">
    <mergeCell ref="L34:N34"/>
    <mergeCell ref="O34:Q34"/>
    <mergeCell ref="R34:T34"/>
    <mergeCell ref="L4:N4"/>
    <mergeCell ref="O4:Q4"/>
    <mergeCell ref="R4:T4"/>
    <mergeCell ref="L18:T18"/>
    <mergeCell ref="L19:N19"/>
    <mergeCell ref="O19:Q19"/>
    <mergeCell ref="R19:T19"/>
    <mergeCell ref="L2:T2"/>
    <mergeCell ref="L3:T3"/>
    <mergeCell ref="B33:J33"/>
    <mergeCell ref="B34:D34"/>
    <mergeCell ref="E34:G34"/>
    <mergeCell ref="H34:J34"/>
    <mergeCell ref="B2:J2"/>
    <mergeCell ref="B4:D4"/>
    <mergeCell ref="E4:G4"/>
    <mergeCell ref="H4:J4"/>
    <mergeCell ref="B3:J3"/>
    <mergeCell ref="B18:J18"/>
    <mergeCell ref="B19:D19"/>
    <mergeCell ref="E19:G19"/>
    <mergeCell ref="H19:J19"/>
    <mergeCell ref="L33:T3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701E-EF5B-427E-BB04-C2713A8A8E89}">
  <dimension ref="B3:F17"/>
  <sheetViews>
    <sheetView workbookViewId="0">
      <selection activeCell="I35" sqref="B32:I35"/>
    </sheetView>
  </sheetViews>
  <sheetFormatPr defaultRowHeight="14.15" x14ac:dyDescent="0.25"/>
  <sheetData>
    <row r="3" spans="2:6" x14ac:dyDescent="0.25">
      <c r="C3" s="13" t="s">
        <v>27</v>
      </c>
      <c r="D3" s="13"/>
      <c r="E3" s="13" t="s">
        <v>61</v>
      </c>
      <c r="F3" s="13"/>
    </row>
    <row r="4" spans="2:6" x14ac:dyDescent="0.25">
      <c r="B4" t="s">
        <v>55</v>
      </c>
      <c r="C4" t="s">
        <v>57</v>
      </c>
      <c r="D4" t="s">
        <v>58</v>
      </c>
      <c r="E4" t="s">
        <v>57</v>
      </c>
      <c r="F4" t="s">
        <v>58</v>
      </c>
    </row>
    <row r="5" spans="2:6" x14ac:dyDescent="0.25">
      <c r="B5">
        <v>1</v>
      </c>
      <c r="C5">
        <f>B12/1000</f>
        <v>1.8556159028522901</v>
      </c>
      <c r="D5">
        <f>C12/1000</f>
        <v>1.8010977482444401</v>
      </c>
      <c r="E5">
        <v>1.8009999999999999</v>
      </c>
      <c r="F5">
        <v>1.5669999999999999</v>
      </c>
    </row>
    <row r="6" spans="2:6" x14ac:dyDescent="0.25">
      <c r="B6">
        <v>2</v>
      </c>
      <c r="C6">
        <f t="shared" ref="C6:D10" si="0">B13/1000</f>
        <v>0.91774235268904103</v>
      </c>
      <c r="D6">
        <f t="shared" si="0"/>
        <v>1.0131010128053801</v>
      </c>
      <c r="E6">
        <v>0.622</v>
      </c>
      <c r="F6">
        <v>0.72499999999999998</v>
      </c>
    </row>
    <row r="7" spans="2:6" x14ac:dyDescent="0.25">
      <c r="B7">
        <v>3</v>
      </c>
      <c r="C7">
        <f t="shared" si="0"/>
        <v>0.71470070088930504</v>
      </c>
      <c r="D7">
        <f t="shared" si="0"/>
        <v>0.85670654653141298</v>
      </c>
      <c r="E7">
        <v>0.51800000000000002</v>
      </c>
      <c r="F7">
        <v>0.79</v>
      </c>
    </row>
    <row r="8" spans="2:6" x14ac:dyDescent="0.25">
      <c r="B8">
        <v>4</v>
      </c>
      <c r="C8">
        <f t="shared" si="0"/>
        <v>0.65645493639253405</v>
      </c>
      <c r="D8">
        <f t="shared" si="0"/>
        <v>0.81876682645388499</v>
      </c>
      <c r="E8">
        <v>0.505</v>
      </c>
      <c r="F8">
        <v>0.82899999999999996</v>
      </c>
    </row>
    <row r="9" spans="2:6" x14ac:dyDescent="0.25">
      <c r="B9">
        <v>5</v>
      </c>
      <c r="C9">
        <f t="shared" si="0"/>
        <v>0.63807968558066608</v>
      </c>
      <c r="D9">
        <f t="shared" si="0"/>
        <v>0.80387616088661606</v>
      </c>
      <c r="E9">
        <v>0.505</v>
      </c>
      <c r="F9">
        <v>0.97199999999999998</v>
      </c>
    </row>
    <row r="10" spans="2:6" x14ac:dyDescent="0.25">
      <c r="B10" t="s">
        <v>56</v>
      </c>
      <c r="C10">
        <f t="shared" si="0"/>
        <v>4.7825935784038354</v>
      </c>
      <c r="D10">
        <f t="shared" si="0"/>
        <v>5.2935482949217336</v>
      </c>
      <c r="E10">
        <v>3.9119999999999999</v>
      </c>
      <c r="F10">
        <v>4.883</v>
      </c>
    </row>
    <row r="12" spans="2:6" x14ac:dyDescent="0.25">
      <c r="B12">
        <v>1855.61590285229</v>
      </c>
      <c r="C12">
        <v>1801.09774824444</v>
      </c>
    </row>
    <row r="13" spans="2:6" x14ac:dyDescent="0.25">
      <c r="B13">
        <v>917.74235268904101</v>
      </c>
      <c r="C13">
        <v>1013.10101280538</v>
      </c>
    </row>
    <row r="14" spans="2:6" x14ac:dyDescent="0.25">
      <c r="B14">
        <v>714.70070088930504</v>
      </c>
      <c r="C14">
        <v>856.70654653141298</v>
      </c>
    </row>
    <row r="15" spans="2:6" x14ac:dyDescent="0.25">
      <c r="B15">
        <v>656.45493639253402</v>
      </c>
      <c r="C15">
        <v>818.76682645388496</v>
      </c>
    </row>
    <row r="16" spans="2:6" x14ac:dyDescent="0.25">
      <c r="B16">
        <v>638.07968558066602</v>
      </c>
      <c r="C16">
        <v>803.87616088661605</v>
      </c>
    </row>
    <row r="17" spans="2:3" x14ac:dyDescent="0.25">
      <c r="B17">
        <f>SUM(B12:B16)</f>
        <v>4782.5935784038356</v>
      </c>
      <c r="C17">
        <f>SUM(C12:C16)</f>
        <v>5293.5482949217339</v>
      </c>
    </row>
  </sheetData>
  <mergeCells count="2">
    <mergeCell ref="C3:D3"/>
    <mergeCell ref="E3:F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BE64-0348-4EA8-A7AC-C6738F892931}">
  <dimension ref="B4:D14"/>
  <sheetViews>
    <sheetView workbookViewId="0">
      <selection activeCell="E30" sqref="E30"/>
    </sheetView>
  </sheetViews>
  <sheetFormatPr defaultRowHeight="14.15" x14ac:dyDescent="0.25"/>
  <sheetData>
    <row r="4" spans="2:4" x14ac:dyDescent="0.25">
      <c r="B4" t="s">
        <v>59</v>
      </c>
      <c r="C4" t="s">
        <v>60</v>
      </c>
      <c r="D4" t="s">
        <v>7</v>
      </c>
    </row>
    <row r="5" spans="2:4" x14ac:dyDescent="0.25">
      <c r="B5">
        <v>1</v>
      </c>
      <c r="C5">
        <v>8</v>
      </c>
      <c r="D5">
        <v>0.77315300204195503</v>
      </c>
    </row>
    <row r="6" spans="2:4" x14ac:dyDescent="0.25">
      <c r="B6">
        <v>2</v>
      </c>
      <c r="C6">
        <v>6.7678780082193901</v>
      </c>
      <c r="D6">
        <v>0.81470379225109002</v>
      </c>
    </row>
    <row r="7" spans="2:4" x14ac:dyDescent="0.25">
      <c r="B7">
        <v>3</v>
      </c>
      <c r="C7">
        <v>6.49380858657549</v>
      </c>
      <c r="D7">
        <v>0.82737163885901499</v>
      </c>
    </row>
    <row r="8" spans="2:4" x14ac:dyDescent="0.25">
      <c r="B8">
        <v>4</v>
      </c>
      <c r="C8">
        <v>6.4299350750433097</v>
      </c>
      <c r="D8">
        <v>0.830530057232446</v>
      </c>
    </row>
    <row r="9" spans="2:4" x14ac:dyDescent="0.25">
      <c r="B9">
        <v>5</v>
      </c>
      <c r="C9">
        <v>6.4152202865608201</v>
      </c>
      <c r="D9">
        <v>0.83126807411625203</v>
      </c>
    </row>
    <row r="10" spans="2:4" x14ac:dyDescent="0.25">
      <c r="B10">
        <v>6</v>
      </c>
      <c r="C10">
        <v>6.41180371542419</v>
      </c>
      <c r="D10">
        <v>0.831440084447851</v>
      </c>
    </row>
    <row r="11" spans="2:4" x14ac:dyDescent="0.25">
      <c r="B11">
        <v>7</v>
      </c>
      <c r="C11">
        <v>6.4109850197613998</v>
      </c>
      <c r="D11">
        <v>0.83148140059931397</v>
      </c>
    </row>
    <row r="12" spans="2:4" x14ac:dyDescent="0.25">
      <c r="B12">
        <v>8</v>
      </c>
      <c r="C12">
        <v>6.4108016451224099</v>
      </c>
      <c r="D12">
        <v>0.83149062454432898</v>
      </c>
    </row>
    <row r="13" spans="2:4" x14ac:dyDescent="0.25">
      <c r="B13">
        <v>9</v>
      </c>
      <c r="C13">
        <v>6.4107580423153001</v>
      </c>
      <c r="D13">
        <v>0.83149282465894303</v>
      </c>
    </row>
    <row r="14" spans="2:4" x14ac:dyDescent="0.25">
      <c r="B14">
        <v>10</v>
      </c>
      <c r="C14">
        <v>6.4107525501072598</v>
      </c>
      <c r="D14">
        <v>0.83149308952915602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randomCalculations</vt:lpstr>
      <vt:lpstr>CpCtVsa</vt:lpstr>
      <vt:lpstr>getGebraad2.6</vt:lpstr>
      <vt:lpstr>vanderHoek</vt:lpstr>
      <vt:lpstr>realData</vt:lpstr>
      <vt:lpstr>verifyPoli</vt:lpstr>
      <vt:lpstr>compOptGebradd</vt:lpstr>
      <vt:lpstr>FAST10ATCtU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Ramos</dc:creator>
  <cp:lastModifiedBy>Manuel Ramos</cp:lastModifiedBy>
  <dcterms:created xsi:type="dcterms:W3CDTF">2019-10-06T18:21:32Z</dcterms:created>
  <dcterms:modified xsi:type="dcterms:W3CDTF">2019-11-25T12:15:01Z</dcterms:modified>
</cp:coreProperties>
</file>