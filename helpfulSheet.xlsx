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fram\Documents\GitHub\wind-farm-thesis\"/>
    </mc:Choice>
  </mc:AlternateContent>
  <xr:revisionPtr revIDLastSave="0" documentId="13_ncr:1_{3F1D6179-B45B-4EB7-A2A9-0FAD9ADA79C5}" xr6:coauthVersionLast="45" xr6:coauthVersionMax="45" xr10:uidLastSave="{00000000-0000-0000-0000-000000000000}"/>
  <bookViews>
    <workbookView xWindow="-108" yWindow="-108" windowWidth="26055" windowHeight="14158" activeTab="6" xr2:uid="{7A5FF4EF-FFAC-4D58-AB26-73838BBBD728}"/>
  </bookViews>
  <sheets>
    <sheet name="randomCalculations" sheetId="2" r:id="rId1"/>
    <sheet name="CpCtVsa" sheetId="1" r:id="rId2"/>
    <sheet name="getGebraad2.6" sheetId="3" r:id="rId3"/>
    <sheet name="vanderHoek" sheetId="4" r:id="rId4"/>
    <sheet name="realData" sheetId="5" r:id="rId5"/>
    <sheet name="benchmark" sheetId="6" r:id="rId6"/>
    <sheet name="verifyPoli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21" i="7" l="1"/>
  <c r="H21" i="7"/>
  <c r="J20" i="7"/>
  <c r="H20" i="7"/>
  <c r="J19" i="7"/>
  <c r="H19" i="7"/>
  <c r="J18" i="7"/>
  <c r="H18" i="7"/>
  <c r="G18" i="7"/>
  <c r="G19" i="7" s="1"/>
  <c r="G20" i="7" s="1"/>
  <c r="G21" i="7" s="1"/>
  <c r="C18" i="7"/>
  <c r="C19" i="7" s="1"/>
  <c r="C20" i="7" s="1"/>
  <c r="C21" i="7" s="1"/>
  <c r="J17" i="7"/>
  <c r="H17" i="7"/>
  <c r="H6" i="7"/>
  <c r="H7" i="7" s="1"/>
  <c r="H8" i="7" s="1"/>
  <c r="H9" i="7" s="1"/>
  <c r="H10" i="7" s="1"/>
  <c r="H11" i="7" s="1"/>
  <c r="H12" i="7" s="1"/>
  <c r="H13" i="7" s="1"/>
  <c r="G6" i="7"/>
  <c r="G7" i="7" s="1"/>
  <c r="G8" i="7" s="1"/>
  <c r="G9" i="7" s="1"/>
  <c r="G10" i="7" s="1"/>
  <c r="G11" i="7" s="1"/>
  <c r="G12" i="7" s="1"/>
  <c r="G13" i="7" s="1"/>
  <c r="H5" i="7"/>
  <c r="G5" i="7"/>
  <c r="P18" i="2" l="1"/>
  <c r="P19" i="2"/>
  <c r="P20" i="2"/>
  <c r="P21" i="2"/>
  <c r="P17" i="2"/>
  <c r="N18" i="2" l="1"/>
  <c r="N19" i="2"/>
  <c r="N20" i="2"/>
  <c r="N21" i="2"/>
  <c r="N17" i="2"/>
  <c r="M18" i="2"/>
  <c r="M19" i="2" s="1"/>
  <c r="M20" i="2" s="1"/>
  <c r="M21" i="2" s="1"/>
  <c r="I21" i="2"/>
  <c r="I19" i="2"/>
  <c r="I20" i="2"/>
  <c r="I18" i="2"/>
  <c r="N6" i="2"/>
  <c r="N7" i="2"/>
  <c r="N8" i="2" s="1"/>
  <c r="N9" i="2" s="1"/>
  <c r="N10" i="2" s="1"/>
  <c r="N11" i="2" s="1"/>
  <c r="N12" i="2" s="1"/>
  <c r="N13" i="2" s="1"/>
  <c r="N5" i="2"/>
  <c r="M6" i="2"/>
  <c r="M7" i="2" s="1"/>
  <c r="M8" i="2" s="1"/>
  <c r="M9" i="2" s="1"/>
  <c r="M10" i="2" s="1"/>
  <c r="M11" i="2" s="1"/>
  <c r="M12" i="2" s="1"/>
  <c r="M13" i="2" s="1"/>
  <c r="M5" i="2"/>
  <c r="I15" i="6" l="1"/>
  <c r="J5" i="6" l="1"/>
  <c r="J6" i="6"/>
  <c r="J7" i="6"/>
  <c r="J8" i="6"/>
  <c r="J4" i="6"/>
  <c r="J9" i="6" s="1"/>
  <c r="I9" i="6"/>
  <c r="I5" i="6"/>
  <c r="I6" i="6"/>
  <c r="I7" i="6"/>
  <c r="I8" i="6"/>
  <c r="I4" i="6"/>
  <c r="C9" i="6"/>
  <c r="D9" i="6"/>
  <c r="E9" i="6"/>
  <c r="F9" i="6"/>
  <c r="G9" i="6"/>
  <c r="H9" i="6"/>
  <c r="E5" i="5" l="1"/>
  <c r="E6" i="5"/>
  <c r="E7" i="5"/>
  <c r="E8" i="5"/>
  <c r="E9" i="5"/>
  <c r="E10" i="5"/>
  <c r="E11" i="5"/>
  <c r="E12" i="5"/>
  <c r="E13" i="5"/>
  <c r="E4" i="5"/>
  <c r="C5" i="5"/>
  <c r="C6" i="5" s="1"/>
  <c r="C7" i="5" s="1"/>
  <c r="C8" i="5" s="1"/>
  <c r="C9" i="5" s="1"/>
  <c r="C10" i="5" s="1"/>
  <c r="C11" i="5" s="1"/>
  <c r="C12" i="5" s="1"/>
  <c r="C13" i="5" s="1"/>
  <c r="R5" i="4" l="1"/>
  <c r="R4" i="4"/>
  <c r="Q4" i="4"/>
  <c r="R7" i="4" l="1"/>
  <c r="R8" i="4"/>
  <c r="R6" i="4"/>
  <c r="Q5" i="4"/>
  <c r="Q6" i="4"/>
  <c r="Q7" i="4"/>
  <c r="Q8" i="4"/>
  <c r="P4" i="4"/>
  <c r="P5" i="4"/>
  <c r="P6" i="4"/>
  <c r="P7" i="4"/>
  <c r="P8" i="4"/>
  <c r="O5" i="4"/>
  <c r="O6" i="4"/>
  <c r="O7" i="4"/>
  <c r="O8" i="4"/>
  <c r="O4" i="4"/>
  <c r="D15" i="4" l="1"/>
  <c r="D16" i="4"/>
  <c r="D17" i="4"/>
  <c r="D18" i="4"/>
  <c r="D14" i="4"/>
  <c r="G15" i="4"/>
  <c r="G16" i="4"/>
  <c r="G17" i="4"/>
  <c r="G18" i="4"/>
  <c r="G14" i="4"/>
  <c r="E15" i="4"/>
  <c r="E16" i="4"/>
  <c r="E17" i="4"/>
  <c r="E18" i="4"/>
  <c r="E14" i="4"/>
  <c r="F31" i="3" l="1"/>
  <c r="F32" i="3"/>
  <c r="F33" i="3"/>
  <c r="F34" i="3"/>
  <c r="F30" i="3"/>
  <c r="F13" i="3"/>
  <c r="F14" i="3"/>
  <c r="F15" i="3"/>
  <c r="F16" i="3"/>
  <c r="F12" i="3"/>
  <c r="D7" i="1" l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6" i="1"/>
  <c r="B24" i="1"/>
  <c r="B25" i="1" s="1"/>
  <c r="B26" i="1" s="1"/>
  <c r="B8" i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7" i="1"/>
  <c r="C28" i="2" l="1"/>
  <c r="B28" i="2"/>
  <c r="G19" i="2"/>
  <c r="C21" i="2"/>
  <c r="B21" i="2"/>
  <c r="E5" i="2" l="1"/>
  <c r="E6" i="2"/>
  <c r="E7" i="2"/>
  <c r="E8" i="2"/>
  <c r="E9" i="2"/>
  <c r="E10" i="2"/>
  <c r="E11" i="2"/>
  <c r="E12" i="2"/>
  <c r="E13" i="2"/>
  <c r="E14" i="2"/>
  <c r="E15" i="2"/>
  <c r="E4" i="2"/>
</calcChain>
</file>

<file path=xl/sharedStrings.xml><?xml version="1.0" encoding="utf-8"?>
<sst xmlns="http://schemas.openxmlformats.org/spreadsheetml/2006/main" count="188" uniqueCount="65">
  <si>
    <t>baseline control</t>
  </si>
  <si>
    <t>constant rotor speed</t>
  </si>
  <si>
    <t>Cp</t>
  </si>
  <si>
    <t>mean</t>
  </si>
  <si>
    <t>SD</t>
  </si>
  <si>
    <t>max-min</t>
  </si>
  <si>
    <t>% difference</t>
  </si>
  <si>
    <t>Ct</t>
  </si>
  <si>
    <t>TSR</t>
  </si>
  <si>
    <t>RBM</t>
  </si>
  <si>
    <t>TI</t>
  </si>
  <si>
    <t>power SD (pitch = 0</t>
  </si>
  <si>
    <t>power SD (pitch = 5</t>
  </si>
  <si>
    <t>% increase</t>
  </si>
  <si>
    <t>U = 11 m/s</t>
  </si>
  <si>
    <t>max SD</t>
  </si>
  <si>
    <t>mean BRBM</t>
  </si>
  <si>
    <t>pitch 0, U = 11,4</t>
  </si>
  <si>
    <t>pitch 5, U = 11,4</t>
  </si>
  <si>
    <t>BRBM SD (pitch = 0</t>
  </si>
  <si>
    <t>BRBM SD (pitch = 5</t>
  </si>
  <si>
    <t>a</t>
  </si>
  <si>
    <t>pitch</t>
  </si>
  <si>
    <t>Turb 1</t>
  </si>
  <si>
    <t>Turb 2</t>
  </si>
  <si>
    <t>genPwr (MW)</t>
  </si>
  <si>
    <t>GEBRAAAAAD</t>
  </si>
  <si>
    <t>FASTnAT</t>
  </si>
  <si>
    <t>Total</t>
  </si>
  <si>
    <t>Turbine number</t>
  </si>
  <si>
    <t>WS</t>
  </si>
  <si>
    <t>VAN DER HOEK</t>
  </si>
  <si>
    <t>baseline</t>
  </si>
  <si>
    <t>active</t>
  </si>
  <si>
    <t>NORMALIZED VALUES + TURB INTS IN %</t>
  </si>
  <si>
    <t>WFC</t>
  </si>
  <si>
    <t>turbine Number</t>
  </si>
  <si>
    <t>Power (kW)</t>
  </si>
  <si>
    <t>norm Power</t>
  </si>
  <si>
    <t>Barthelmie2009 - measurements</t>
  </si>
  <si>
    <t>Barthelmie2009 - WAsP</t>
  </si>
  <si>
    <t>Baseline</t>
  </si>
  <si>
    <t>Optimised</t>
  </si>
  <si>
    <t>FLORIS</t>
  </si>
  <si>
    <t>SOWFA</t>
  </si>
  <si>
    <t>obj = 2</t>
  </si>
  <si>
    <t>TOTAL</t>
  </si>
  <si>
    <t>FASTnAT (kW)</t>
  </si>
  <si>
    <t>FASTnAT (MW)</t>
  </si>
  <si>
    <t>U</t>
  </si>
  <si>
    <t>P</t>
  </si>
  <si>
    <t>FAST</t>
  </si>
  <si>
    <t>Polinomio</t>
  </si>
  <si>
    <t>Load</t>
  </si>
  <si>
    <t>lds</t>
  </si>
  <si>
    <t>polinomio</t>
  </si>
  <si>
    <t>sumVar</t>
  </si>
  <si>
    <t>sum(N) power</t>
  </si>
  <si>
    <t>sum(N) Lds</t>
  </si>
  <si>
    <t>Sum(N) Lds</t>
  </si>
  <si>
    <t>L2</t>
  </si>
  <si>
    <t>L1</t>
  </si>
  <si>
    <t>somatório da potência FAST10AT</t>
  </si>
  <si>
    <t>Somatório da potência totalVarFun</t>
  </si>
  <si>
    <t>kW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</si>
</sst>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0" borderId="1" xfId="0" applyBorder="1"/>
    <xf numFmtId="0" fontId="0" fillId="0" borderId="2" xfId="0" applyBorder="1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FAST10AT Power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randomCalculations!$I$4:$I$13</c:f>
              <c:numCache>
                <c:formatCode>General</c:formatCode>
                <c:ptCount val="10"/>
                <c:pt idx="0">
                  <c:v>8</c:v>
                </c:pt>
                <c:pt idx="1">
                  <c:v>6.7678780082193901</c:v>
                </c:pt>
                <c:pt idx="2">
                  <c:v>6.6497850704675301</c:v>
                </c:pt>
                <c:pt idx="3">
                  <c:v>6.6338469468619303</c:v>
                </c:pt>
                <c:pt idx="4">
                  <c:v>6.6316911222024704</c:v>
                </c:pt>
                <c:pt idx="5">
                  <c:v>6.6314231521639098</c:v>
                </c:pt>
                <c:pt idx="6">
                  <c:v>6.6313834887782797</c:v>
                </c:pt>
                <c:pt idx="7">
                  <c:v>6.6313829939712896</c:v>
                </c:pt>
                <c:pt idx="8">
                  <c:v>6.6313829939712896</c:v>
                </c:pt>
                <c:pt idx="9">
                  <c:v>6.6313829939712896</c:v>
                </c:pt>
              </c:numCache>
            </c:numRef>
          </c:xVal>
          <c:yVal>
            <c:numRef>
              <c:f>randomCalculations!$K$4:$K$13</c:f>
              <c:numCache>
                <c:formatCode>General</c:formatCode>
                <c:ptCount val="10"/>
                <c:pt idx="0">
                  <c:v>1862.2114847831399</c:v>
                </c:pt>
                <c:pt idx="1">
                  <c:v>1117.8856148795001</c:v>
                </c:pt>
                <c:pt idx="2">
                  <c:v>1058.5325862749801</c:v>
                </c:pt>
                <c:pt idx="3">
                  <c:v>1050.7277584186099</c:v>
                </c:pt>
                <c:pt idx="4">
                  <c:v>1049.6639792430001</c:v>
                </c:pt>
                <c:pt idx="5">
                  <c:v>1049.5058538292001</c:v>
                </c:pt>
                <c:pt idx="6">
                  <c:v>1049.5062165581801</c:v>
                </c:pt>
                <c:pt idx="7">
                  <c:v>1049.5062165581801</c:v>
                </c:pt>
                <c:pt idx="8">
                  <c:v>1049.5062165581801</c:v>
                </c:pt>
                <c:pt idx="9">
                  <c:v>1049.5062165581801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DD-4715-81EE-7362B1A3A6BF}"/>
            </c:ext>
          </c:extLst>
        </c:ser>
        <c:ser>
          <c:idx val="1"/>
          <c:order val="1"/>
          <c:tx>
            <c:v>pol Power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randomCalculations!$M$4:$M$13</c:f>
              <c:numCache>
                <c:formatCode>General</c:formatCode>
                <c:ptCount val="10"/>
                <c:pt idx="0">
                  <c:v>8</c:v>
                </c:pt>
                <c:pt idx="1">
                  <c:v>7.8</c:v>
                </c:pt>
                <c:pt idx="2">
                  <c:v>7.6</c:v>
                </c:pt>
                <c:pt idx="3">
                  <c:v>7.3999999999999995</c:v>
                </c:pt>
                <c:pt idx="4">
                  <c:v>7.1999999999999993</c:v>
                </c:pt>
                <c:pt idx="5">
                  <c:v>6.9999999999999991</c:v>
                </c:pt>
                <c:pt idx="6">
                  <c:v>6.7999999999999989</c:v>
                </c:pt>
                <c:pt idx="7">
                  <c:v>6.5999999999999988</c:v>
                </c:pt>
                <c:pt idx="8">
                  <c:v>6.3999999999999986</c:v>
                </c:pt>
                <c:pt idx="9">
                  <c:v>6.1999999999999984</c:v>
                </c:pt>
              </c:numCache>
            </c:numRef>
          </c:xVal>
          <c:yVal>
            <c:numRef>
              <c:f>randomCalculations!$O$4:$O$13</c:f>
              <c:numCache>
                <c:formatCode>General</c:formatCode>
                <c:ptCount val="10"/>
                <c:pt idx="0">
                  <c:v>1862.27236438407</c:v>
                </c:pt>
                <c:pt idx="1">
                  <c:v>1727.16023040103</c:v>
                </c:pt>
                <c:pt idx="2">
                  <c:v>1598.27447438082</c:v>
                </c:pt>
                <c:pt idx="3">
                  <c:v>1475.46942100358</c:v>
                </c:pt>
                <c:pt idx="4">
                  <c:v>1358.59939494947</c:v>
                </c:pt>
                <c:pt idx="5">
                  <c:v>1247.5187208986499</c:v>
                </c:pt>
                <c:pt idx="6">
                  <c:v>1142.08172353126</c:v>
                </c:pt>
                <c:pt idx="7">
                  <c:v>1042.14272752746</c:v>
                </c:pt>
                <c:pt idx="8">
                  <c:v>947.55605756739601</c:v>
                </c:pt>
                <c:pt idx="9">
                  <c:v>858.17603833122996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DD-4715-81EE-7362B1A3A6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1422968"/>
        <c:axId val="441419128"/>
      </c:scatterChart>
      <c:valAx>
        <c:axId val="441422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Wind speed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1419128"/>
        <c:crosses val="autoZero"/>
        <c:crossBetween val="midCat"/>
      </c:valAx>
      <c:valAx>
        <c:axId val="441419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Averag Power []kW]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1422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turb1 Power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randomCalculations!$I$17:$I$21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randomCalculations!$J$17:$J$21</c:f>
              <c:numCache>
                <c:formatCode>General</c:formatCode>
                <c:ptCount val="5"/>
                <c:pt idx="0">
                  <c:v>1.8624331919794099</c:v>
                </c:pt>
                <c:pt idx="1">
                  <c:v>1.83081284040067</c:v>
                </c:pt>
                <c:pt idx="2">
                  <c:v>1.76602945629015</c:v>
                </c:pt>
                <c:pt idx="3">
                  <c:v>1.67770681633601</c:v>
                </c:pt>
                <c:pt idx="4">
                  <c:v>1.5438997464828399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6F-4F9B-B2B5-62993F6C1C9B}"/>
            </c:ext>
          </c:extLst>
        </c:ser>
        <c:ser>
          <c:idx val="1"/>
          <c:order val="1"/>
          <c:tx>
            <c:v>Poli turb1 Power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randomCalculations!$M$17:$M$21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randomCalculations!$N$17:$N$21</c:f>
              <c:numCache>
                <c:formatCode>General</c:formatCode>
                <c:ptCount val="5"/>
                <c:pt idx="0">
                  <c:v>1.86227236438407</c:v>
                </c:pt>
                <c:pt idx="1">
                  <c:v>1.84073818957321</c:v>
                </c:pt>
                <c:pt idx="2">
                  <c:v>1.7823081104824701</c:v>
                </c:pt>
                <c:pt idx="3">
                  <c:v>1.68251894855007</c:v>
                </c:pt>
                <c:pt idx="4">
                  <c:v>1.5511790169194402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6F-4F9B-B2B5-62993F6C1C9B}"/>
            </c:ext>
          </c:extLst>
        </c:ser>
        <c:ser>
          <c:idx val="2"/>
          <c:order val="2"/>
          <c:tx>
            <c:v>FAST sumPwer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randomCalculations!$I$17:$I$21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randomCalculations!$L$17:$L$21</c:f>
              <c:numCache>
                <c:formatCode>General</c:formatCode>
                <c:ptCount val="5"/>
                <c:pt idx="0">
                  <c:v>2.98045148218853</c:v>
                </c:pt>
                <c:pt idx="1">
                  <c:v>3.0158914531080598</c:v>
                </c:pt>
                <c:pt idx="2">
                  <c:v>3.0171263477779999</c:v>
                </c:pt>
                <c:pt idx="3">
                  <c:v>2.9919051224573701</c:v>
                </c:pt>
                <c:pt idx="4">
                  <c:v>2.9258676614480801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26F-4F9B-B2B5-62993F6C1C9B}"/>
            </c:ext>
          </c:extLst>
        </c:ser>
        <c:ser>
          <c:idx val="3"/>
          <c:order val="3"/>
          <c:tx>
            <c:v>poli sumPwer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randomCalculations!$M$17:$M$21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randomCalculations!$P$17:$P$21</c:f>
              <c:numCache>
                <c:formatCode>General</c:formatCode>
                <c:ptCount val="5"/>
                <c:pt idx="0">
                  <c:v>2.9898143455716397</c:v>
                </c:pt>
                <c:pt idx="1">
                  <c:v>3.0339714852694901</c:v>
                </c:pt>
                <c:pt idx="2">
                  <c:v>3.0407952588386804</c:v>
                </c:pt>
                <c:pt idx="3">
                  <c:v>3.0027829270077602</c:v>
                </c:pt>
                <c:pt idx="4">
                  <c:v>2.93814490852382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6F-4F9B-B2B5-62993F6C1C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658352"/>
        <c:axId val="426756080"/>
      </c:scatterChart>
      <c:valAx>
        <c:axId val="425658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Pitch offset on turb 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756080"/>
        <c:crosses val="autoZero"/>
        <c:crossBetween val="midCat"/>
      </c:valAx>
      <c:valAx>
        <c:axId val="426756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Average Power [MW]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6583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sumLds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randomCalculations!$I$17:$I$21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randomCalculations!$L$23:$L$27</c:f>
              <c:numCache>
                <c:formatCode>General</c:formatCode>
                <c:ptCount val="5"/>
                <c:pt idx="0">
                  <c:v>1380.9188890795399</c:v>
                </c:pt>
                <c:pt idx="1">
                  <c:v>1375.9450294703099</c:v>
                </c:pt>
                <c:pt idx="2">
                  <c:v>1373.5814769315</c:v>
                </c:pt>
                <c:pt idx="3">
                  <c:v>1373.29453582466</c:v>
                </c:pt>
                <c:pt idx="4">
                  <c:v>1379.4181376394399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8C-487C-964E-1FAA79DE0449}"/>
            </c:ext>
          </c:extLst>
        </c:ser>
        <c:ser>
          <c:idx val="1"/>
          <c:order val="1"/>
          <c:tx>
            <c:v>poli sumLds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randomCalculations!$M$17:$M$21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randomCalculations!$P$23:$P$27</c:f>
              <c:numCache>
                <c:formatCode>General</c:formatCode>
                <c:ptCount val="5"/>
                <c:pt idx="0">
                  <c:v>1385.36986296854</c:v>
                </c:pt>
                <c:pt idx="1">
                  <c:v>1379.97501266734</c:v>
                </c:pt>
                <c:pt idx="2">
                  <c:v>1376.37641705698</c:v>
                </c:pt>
                <c:pt idx="3">
                  <c:v>1375.55364985605</c:v>
                </c:pt>
                <c:pt idx="4">
                  <c:v>1372.1260269776999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8C-487C-964E-1FAA79DE0449}"/>
            </c:ext>
          </c:extLst>
        </c:ser>
        <c:ser>
          <c:idx val="2"/>
          <c:order val="2"/>
          <c:tx>
            <c:v>FAST turb1 loads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randomCalculations!$I$17:$I$21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randomCalculations!$J$23:$J$27</c:f>
              <c:numCache>
                <c:formatCode>General</c:formatCode>
                <c:ptCount val="5"/>
                <c:pt idx="0">
                  <c:v>666.13449478096197</c:v>
                </c:pt>
                <c:pt idx="1">
                  <c:v>669.06609949875894</c:v>
                </c:pt>
                <c:pt idx="2">
                  <c:v>673.61970742711799</c:v>
                </c:pt>
                <c:pt idx="3">
                  <c:v>680.81802901444098</c:v>
                </c:pt>
                <c:pt idx="4">
                  <c:v>691.91398352151498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48C-487C-964E-1FAA79DE0449}"/>
            </c:ext>
          </c:extLst>
        </c:ser>
        <c:ser>
          <c:idx val="3"/>
          <c:order val="3"/>
          <c:tx>
            <c:v>FAST turb2 load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randomCalculations!$I$17:$I$21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randomCalculations!$K$23:$K$27</c:f>
              <c:numCache>
                <c:formatCode>General</c:formatCode>
                <c:ptCount val="5"/>
                <c:pt idx="0">
                  <c:v>714.78439429857497</c:v>
                </c:pt>
                <c:pt idx="1">
                  <c:v>706.87892997154904</c:v>
                </c:pt>
                <c:pt idx="2">
                  <c:v>699.96176950438098</c:v>
                </c:pt>
                <c:pt idx="3">
                  <c:v>692.47650681021901</c:v>
                </c:pt>
                <c:pt idx="4">
                  <c:v>687.50415411792596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48C-487C-964E-1FAA79DE0449}"/>
            </c:ext>
          </c:extLst>
        </c:ser>
        <c:ser>
          <c:idx val="4"/>
          <c:order val="4"/>
          <c:tx>
            <c:v>poli turb1 load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randomCalculations!$M$17:$M$21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randomCalculations!$M$23:$M$27</c:f>
              <c:numCache>
                <c:formatCode>General</c:formatCode>
                <c:ptCount val="5"/>
                <c:pt idx="0">
                  <c:v>654.51337238045699</c:v>
                </c:pt>
                <c:pt idx="1">
                  <c:v>656.28564790461803</c:v>
                </c:pt>
                <c:pt idx="2">
                  <c:v>660.42925981631004</c:v>
                </c:pt>
                <c:pt idx="3">
                  <c:v>667.43248551880095</c:v>
                </c:pt>
                <c:pt idx="4">
                  <c:v>672.87938661256101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48C-487C-964E-1FAA79DE0449}"/>
            </c:ext>
          </c:extLst>
        </c:ser>
        <c:ser>
          <c:idx val="5"/>
          <c:order val="5"/>
          <c:tx>
            <c:v>poli turb2 load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randomCalculations!$M$17:$M$21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randomCalculations!$N$23:$N$27</c:f>
              <c:numCache>
                <c:formatCode>General</c:formatCode>
                <c:ptCount val="5"/>
                <c:pt idx="0">
                  <c:v>730.85649058808701</c:v>
                </c:pt>
                <c:pt idx="1">
                  <c:v>723.68936476272404</c:v>
                </c:pt>
                <c:pt idx="2">
                  <c:v>715.94715724067396</c:v>
                </c:pt>
                <c:pt idx="3">
                  <c:v>708.12116433724395</c:v>
                </c:pt>
                <c:pt idx="4">
                  <c:v>699.24664036514105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48C-487C-964E-1FAA79DE0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5322296"/>
        <c:axId val="525325816"/>
      </c:scatterChart>
      <c:valAx>
        <c:axId val="525322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Pitch</a:t>
                </a:r>
                <a:r>
                  <a:rPr lang="en-GB" baseline="0"/>
                  <a:t> offset on turb 1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5325816"/>
        <c:crosses val="autoZero"/>
        <c:crossBetween val="midCat"/>
      </c:valAx>
      <c:valAx>
        <c:axId val="525325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SD of CBRBM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5322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Cp1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CpCtVsa!$B$6:$B$16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  <c:pt idx="10">
                  <c:v>0.49999999999999994</c:v>
                </c:pt>
              </c:numCache>
            </c:numRef>
          </c:xVal>
          <c:yVal>
            <c:numRef>
              <c:f>CpCtVsa!$C$6:$C$16</c:f>
              <c:numCache>
                <c:formatCode>General</c:formatCode>
                <c:ptCount val="11"/>
                <c:pt idx="0">
                  <c:v>0</c:v>
                </c:pt>
                <c:pt idx="1">
                  <c:v>0.18049999999999999</c:v>
                </c:pt>
                <c:pt idx="2">
                  <c:v>0.32400000000000007</c:v>
                </c:pt>
                <c:pt idx="3">
                  <c:v>0.4335</c:v>
                </c:pt>
                <c:pt idx="4">
                  <c:v>0.51200000000000012</c:v>
                </c:pt>
                <c:pt idx="5">
                  <c:v>0.5625</c:v>
                </c:pt>
                <c:pt idx="6">
                  <c:v>0.58799999999999986</c:v>
                </c:pt>
                <c:pt idx="7">
                  <c:v>0.59150000000000003</c:v>
                </c:pt>
                <c:pt idx="8">
                  <c:v>0.57600000000000007</c:v>
                </c:pt>
                <c:pt idx="9">
                  <c:v>0.54449999999999998</c:v>
                </c:pt>
                <c:pt idx="10">
                  <c:v>0.49999999999999994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D9-4D13-B661-775069CB65E8}"/>
            </c:ext>
          </c:extLst>
        </c:ser>
        <c:ser>
          <c:idx val="1"/>
          <c:order val="1"/>
          <c:tx>
            <c:v>Cp2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CpCtVsa!$B$16:$B$26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0.54999999999999993</c:v>
                </c:pt>
                <c:pt idx="2">
                  <c:v>0.6</c:v>
                </c:pt>
                <c:pt idx="3">
                  <c:v>0.65</c:v>
                </c:pt>
                <c:pt idx="4">
                  <c:v>0.70000000000000007</c:v>
                </c:pt>
                <c:pt idx="5">
                  <c:v>0.75000000000000011</c:v>
                </c:pt>
                <c:pt idx="6">
                  <c:v>0.80000000000000016</c:v>
                </c:pt>
                <c:pt idx="7">
                  <c:v>0.8500000000000002</c:v>
                </c:pt>
                <c:pt idx="8">
                  <c:v>0.90000000000000024</c:v>
                </c:pt>
                <c:pt idx="9">
                  <c:v>0.95000000000000029</c:v>
                </c:pt>
                <c:pt idx="10">
                  <c:v>1.0000000000000002</c:v>
                </c:pt>
              </c:numCache>
            </c:numRef>
          </c:xVal>
          <c:yVal>
            <c:numRef>
              <c:f>CpCtVsa!$C$16:$C$26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0.44550000000000012</c:v>
                </c:pt>
                <c:pt idx="2">
                  <c:v>0.38400000000000006</c:v>
                </c:pt>
                <c:pt idx="3">
                  <c:v>0.31849999999999995</c:v>
                </c:pt>
                <c:pt idx="4">
                  <c:v>0.25199999999999989</c:v>
                </c:pt>
                <c:pt idx="5">
                  <c:v>0.18749999999999986</c:v>
                </c:pt>
                <c:pt idx="6">
                  <c:v>0.12799999999999984</c:v>
                </c:pt>
                <c:pt idx="7">
                  <c:v>7.6499999999999818E-2</c:v>
                </c:pt>
                <c:pt idx="8">
                  <c:v>3.5999999999999838E-2</c:v>
                </c:pt>
                <c:pt idx="9">
                  <c:v>9.4999999999998922E-3</c:v>
                </c:pt>
                <c:pt idx="10">
                  <c:v>1.97215226305253E-31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D9-4D13-B661-775069CB65E8}"/>
            </c:ext>
          </c:extLst>
        </c:ser>
        <c:ser>
          <c:idx val="2"/>
          <c:order val="2"/>
          <c:tx>
            <c:v>Ct1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CpCtVsa!$B$6:$B$16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  <c:pt idx="10">
                  <c:v>0.49999999999999994</c:v>
                </c:pt>
              </c:numCache>
            </c:numRef>
          </c:xVal>
          <c:yVal>
            <c:numRef>
              <c:f>CpCtVsa!$D$6:$D$16</c:f>
              <c:numCache>
                <c:formatCode>General</c:formatCode>
                <c:ptCount val="11"/>
                <c:pt idx="0">
                  <c:v>0</c:v>
                </c:pt>
                <c:pt idx="1">
                  <c:v>0.19</c:v>
                </c:pt>
                <c:pt idx="2">
                  <c:v>0.36000000000000004</c:v>
                </c:pt>
                <c:pt idx="3">
                  <c:v>0.51</c:v>
                </c:pt>
                <c:pt idx="4">
                  <c:v>0.64000000000000012</c:v>
                </c:pt>
                <c:pt idx="5">
                  <c:v>0.75</c:v>
                </c:pt>
                <c:pt idx="6">
                  <c:v>0.84</c:v>
                </c:pt>
                <c:pt idx="7">
                  <c:v>0.90999999999999992</c:v>
                </c:pt>
                <c:pt idx="8">
                  <c:v>0.96000000000000008</c:v>
                </c:pt>
                <c:pt idx="9">
                  <c:v>0.99</c:v>
                </c:pt>
                <c:pt idx="10">
                  <c:v>0.99999999999999989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CD9-4D13-B661-775069CB65E8}"/>
            </c:ext>
          </c:extLst>
        </c:ser>
        <c:ser>
          <c:idx val="3"/>
          <c:order val="3"/>
          <c:tx>
            <c:v>Ct2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CpCtVsa!$B$16:$B$26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0.54999999999999993</c:v>
                </c:pt>
                <c:pt idx="2">
                  <c:v>0.6</c:v>
                </c:pt>
                <c:pt idx="3">
                  <c:v>0.65</c:v>
                </c:pt>
                <c:pt idx="4">
                  <c:v>0.70000000000000007</c:v>
                </c:pt>
                <c:pt idx="5">
                  <c:v>0.75000000000000011</c:v>
                </c:pt>
                <c:pt idx="6">
                  <c:v>0.80000000000000016</c:v>
                </c:pt>
                <c:pt idx="7">
                  <c:v>0.8500000000000002</c:v>
                </c:pt>
                <c:pt idx="8">
                  <c:v>0.90000000000000024</c:v>
                </c:pt>
                <c:pt idx="9">
                  <c:v>0.95000000000000029</c:v>
                </c:pt>
                <c:pt idx="10">
                  <c:v>1.0000000000000002</c:v>
                </c:pt>
              </c:numCache>
            </c:numRef>
          </c:xVal>
          <c:yVal>
            <c:numRef>
              <c:f>CpCtVsa!$D$16:$D$26</c:f>
              <c:numCache>
                <c:formatCode>General</c:formatCode>
                <c:ptCount val="11"/>
                <c:pt idx="0">
                  <c:v>0.99999999999999989</c:v>
                </c:pt>
                <c:pt idx="1">
                  <c:v>0.99</c:v>
                </c:pt>
                <c:pt idx="2">
                  <c:v>0.96</c:v>
                </c:pt>
                <c:pt idx="3">
                  <c:v>0.90999999999999992</c:v>
                </c:pt>
                <c:pt idx="4">
                  <c:v>0.83999999999999986</c:v>
                </c:pt>
                <c:pt idx="5">
                  <c:v>0.74999999999999978</c:v>
                </c:pt>
                <c:pt idx="6">
                  <c:v>0.63999999999999968</c:v>
                </c:pt>
                <c:pt idx="7">
                  <c:v>0.50999999999999945</c:v>
                </c:pt>
                <c:pt idx="8">
                  <c:v>0.35999999999999921</c:v>
                </c:pt>
                <c:pt idx="9">
                  <c:v>0.18999999999999895</c:v>
                </c:pt>
                <c:pt idx="10">
                  <c:v>-8.8817841970012543E-16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CD9-4D13-B661-775069CB65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0985200"/>
        <c:axId val="510986160"/>
      </c:scatterChart>
      <c:valAx>
        <c:axId val="510985200"/>
        <c:scaling>
          <c:orientation val="minMax"/>
          <c:max val="1.02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800" i="1"/>
                  <a:t>a</a:t>
                </a:r>
                <a:endParaRPr lang="en-GB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986160"/>
        <c:crosses val="autoZero"/>
        <c:crossBetween val="midCat"/>
      </c:valAx>
      <c:valAx>
        <c:axId val="510986160"/>
        <c:scaling>
          <c:orientation val="minMax"/>
          <c:max val="1.02"/>
          <c:min val="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98520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587206366935857"/>
          <c:y val="3.5795251072238771E-2"/>
          <c:w val="0.81794841592898326"/>
          <c:h val="0.61305430144162132"/>
        </c:manualLayout>
      </c:layout>
      <c:scatterChart>
        <c:scatterStyle val="smoothMarker"/>
        <c:varyColors val="0"/>
        <c:ser>
          <c:idx val="0"/>
          <c:order val="0"/>
          <c:tx>
            <c:v>Turbine 1 - Literature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getGebraad2.6!$B$5:$B$9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2.0270000000000001</c:v>
                </c:pt>
                <c:pt idx="3">
                  <c:v>4.077</c:v>
                </c:pt>
                <c:pt idx="4">
                  <c:v>6.0359999999999996</c:v>
                </c:pt>
              </c:numCache>
            </c:numRef>
          </c:xVal>
          <c:yVal>
            <c:numRef>
              <c:f>getGebraad2.6!$C$5:$C$9</c:f>
              <c:numCache>
                <c:formatCode>General</c:formatCode>
                <c:ptCount val="5"/>
                <c:pt idx="0">
                  <c:v>8.5220000000000002</c:v>
                </c:pt>
                <c:pt idx="1">
                  <c:v>8.43</c:v>
                </c:pt>
                <c:pt idx="2">
                  <c:v>8.2710000000000008</c:v>
                </c:pt>
                <c:pt idx="3">
                  <c:v>7.8150000000000004</c:v>
                </c:pt>
                <c:pt idx="4">
                  <c:v>7.3140000000000001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4E-4232-A2AA-5E623D6CF4FE}"/>
            </c:ext>
          </c:extLst>
        </c:ser>
        <c:ser>
          <c:idx val="2"/>
          <c:order val="1"/>
          <c:tx>
            <c:v>Turbine 1 - FASTnAT</c:v>
          </c:tx>
          <c:spPr>
            <a:ln w="381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getGebraad2.6!$B$23:$B$27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getGebraad2.6!$C$23:$C$27</c:f>
              <c:numCache>
                <c:formatCode>General</c:formatCode>
                <c:ptCount val="5"/>
                <c:pt idx="0">
                  <c:v>7.6917153927817496</c:v>
                </c:pt>
                <c:pt idx="1">
                  <c:v>7.6922699245458404</c:v>
                </c:pt>
                <c:pt idx="2">
                  <c:v>7.6926770081712297</c:v>
                </c:pt>
                <c:pt idx="3">
                  <c:v>7.6929338414266004</c:v>
                </c:pt>
                <c:pt idx="4">
                  <c:v>7.69296382373438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14E-4232-A2AA-5E623D6CF4FE}"/>
            </c:ext>
          </c:extLst>
        </c:ser>
        <c:ser>
          <c:idx val="1"/>
          <c:order val="2"/>
          <c:tx>
            <c:v>Turbine 2 - Literature</c:v>
          </c:tx>
          <c:spPr>
            <a:ln w="381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getGebraad2.6!$D$5:$D$9</c:f>
              <c:numCache>
                <c:formatCode>General</c:formatCode>
                <c:ptCount val="5"/>
                <c:pt idx="0">
                  <c:v>2.3E-2</c:v>
                </c:pt>
                <c:pt idx="1">
                  <c:v>1.036</c:v>
                </c:pt>
                <c:pt idx="2">
                  <c:v>2.0270000000000001</c:v>
                </c:pt>
                <c:pt idx="3">
                  <c:v>4.0540000000000003</c:v>
                </c:pt>
                <c:pt idx="4">
                  <c:v>6.0590000000000002</c:v>
                </c:pt>
              </c:numCache>
            </c:numRef>
          </c:xVal>
          <c:yVal>
            <c:numRef>
              <c:f>getGebraad2.6!$E$5:$E$9</c:f>
              <c:numCache>
                <c:formatCode>General</c:formatCode>
                <c:ptCount val="5"/>
                <c:pt idx="0">
                  <c:v>6.9870000000000001</c:v>
                </c:pt>
                <c:pt idx="1">
                  <c:v>7.0179999999999998</c:v>
                </c:pt>
                <c:pt idx="2">
                  <c:v>7.0780000000000003</c:v>
                </c:pt>
                <c:pt idx="3">
                  <c:v>7.2</c:v>
                </c:pt>
                <c:pt idx="4">
                  <c:v>7.359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14E-4232-A2AA-5E623D6CF4FE}"/>
            </c:ext>
          </c:extLst>
        </c:ser>
        <c:ser>
          <c:idx val="3"/>
          <c:order val="3"/>
          <c:tx>
            <c:v>Turbine 2 - FASTnAT</c:v>
          </c:tx>
          <c:spPr>
            <a:ln w="34925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getGebraad2.6!$D$23:$D$27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getGebraad2.6!$E$23:$E$27</c:f>
              <c:numCache>
                <c:formatCode>General</c:formatCode>
                <c:ptCount val="5"/>
                <c:pt idx="0">
                  <c:v>8.5031802148166307</c:v>
                </c:pt>
                <c:pt idx="1">
                  <c:v>8.3932143198203306</c:v>
                </c:pt>
                <c:pt idx="2">
                  <c:v>8.2919999382232294</c:v>
                </c:pt>
                <c:pt idx="3">
                  <c:v>8.2003976650590999</c:v>
                </c:pt>
                <c:pt idx="4">
                  <c:v>8.1098224538620194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14E-4232-A2AA-5E623D6CF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40568"/>
        <c:axId val="556643128"/>
      </c:scatterChart>
      <c:valAx>
        <c:axId val="556640568"/>
        <c:scaling>
          <c:orientation val="minMax"/>
          <c:max val="4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Pitch</a:t>
                </a:r>
                <a:r>
                  <a:rPr lang="en-GB" sz="1600" baseline="0"/>
                  <a:t> offset [deg]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3128"/>
        <c:crosses val="autoZero"/>
        <c:crossBetween val="midCat"/>
        <c:majorUnit val="1"/>
      </c:valAx>
      <c:valAx>
        <c:axId val="556643128"/>
        <c:scaling>
          <c:orientation val="minMax"/>
          <c:max val="9.5"/>
          <c:min val="6.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TSR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0568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1554345279286843E-2"/>
          <c:y val="0.78487218762795707"/>
          <c:w val="0.96381149841162606"/>
          <c:h val="0.20079241870411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963938728431022"/>
          <c:y val="3.5795161959565003E-2"/>
          <c:w val="0.75204137578766239"/>
          <c:h val="0.62096019247764966"/>
        </c:manualLayout>
      </c:layout>
      <c:scatterChart>
        <c:scatterStyle val="smoothMarker"/>
        <c:varyColors val="0"/>
        <c:ser>
          <c:idx val="0"/>
          <c:order val="0"/>
          <c:tx>
            <c:v>Turbine 1 - Literature</c:v>
          </c:tx>
          <c:spPr>
            <a:ln w="254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getGebraad2.6!$B$12:$B$16</c:f>
              <c:numCache>
                <c:formatCode>General</c:formatCode>
                <c:ptCount val="5"/>
                <c:pt idx="0">
                  <c:v>-6.8000000000000005E-2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getGebraad2.6!$C$12:$C$16</c:f>
              <c:numCache>
                <c:formatCode>General</c:formatCode>
                <c:ptCount val="5"/>
                <c:pt idx="0">
                  <c:v>1.7769999999999999</c:v>
                </c:pt>
                <c:pt idx="1">
                  <c:v>1.724</c:v>
                </c:pt>
                <c:pt idx="2">
                  <c:v>1.625</c:v>
                </c:pt>
                <c:pt idx="3">
                  <c:v>1.359</c:v>
                </c:pt>
                <c:pt idx="4">
                  <c:v>1.0629999999999999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6E5-4FA0-BFB0-ED6E8444DDB9}"/>
            </c:ext>
          </c:extLst>
        </c:ser>
        <c:ser>
          <c:idx val="2"/>
          <c:order val="1"/>
          <c:tx>
            <c:v>Turbine 1 - FASTnAT</c:v>
          </c:tx>
          <c:spPr>
            <a:ln w="254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getGebraad2.6!$B$30:$B$34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getGebraad2.6!$C$30:$C$34</c:f>
              <c:numCache>
                <c:formatCode>General</c:formatCode>
                <c:ptCount val="5"/>
                <c:pt idx="0">
                  <c:v>1.8624331919794099</c:v>
                </c:pt>
                <c:pt idx="1">
                  <c:v>1.83081284040067</c:v>
                </c:pt>
                <c:pt idx="2">
                  <c:v>1.76602945629015</c:v>
                </c:pt>
                <c:pt idx="3">
                  <c:v>1.67770681633601</c:v>
                </c:pt>
                <c:pt idx="4">
                  <c:v>1.5438997464828399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6E5-4FA0-BFB0-ED6E8444DDB9}"/>
            </c:ext>
          </c:extLst>
        </c:ser>
        <c:ser>
          <c:idx val="4"/>
          <c:order val="2"/>
          <c:tx>
            <c:v>Total - Literature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getGebraad2.6!$D$12:$D$16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getGebraad2.6!$F$12:$F$16</c:f>
              <c:numCache>
                <c:formatCode>General</c:formatCode>
                <c:ptCount val="5"/>
                <c:pt idx="0">
                  <c:v>2.605</c:v>
                </c:pt>
                <c:pt idx="1">
                  <c:v>2.5670000000000002</c:v>
                </c:pt>
                <c:pt idx="2">
                  <c:v>2.5140000000000002</c:v>
                </c:pt>
                <c:pt idx="3">
                  <c:v>2.339</c:v>
                </c:pt>
                <c:pt idx="4">
                  <c:v>2.1639999999999997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0D-497D-8A0B-3DD9FE94C0F7}"/>
            </c:ext>
          </c:extLst>
        </c:ser>
        <c:ser>
          <c:idx val="1"/>
          <c:order val="3"/>
          <c:tx>
            <c:v>Turbine 2 - Literature</c:v>
          </c:tx>
          <c:spPr>
            <a:ln w="381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getGebraad2.6!$D$12:$D$16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getGebraad2.6!$E$12:$E$16</c:f>
              <c:numCache>
                <c:formatCode>General</c:formatCode>
                <c:ptCount val="5"/>
                <c:pt idx="0">
                  <c:v>0.82799999999999996</c:v>
                </c:pt>
                <c:pt idx="1">
                  <c:v>0.84299999999999997</c:v>
                </c:pt>
                <c:pt idx="2">
                  <c:v>0.88900000000000001</c:v>
                </c:pt>
                <c:pt idx="3">
                  <c:v>0.98</c:v>
                </c:pt>
                <c:pt idx="4">
                  <c:v>1.101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6E5-4FA0-BFB0-ED6E8444DDB9}"/>
            </c:ext>
          </c:extLst>
        </c:ser>
        <c:ser>
          <c:idx val="3"/>
          <c:order val="4"/>
          <c:tx>
            <c:v>Turbine 2 - FASTnAT</c:v>
          </c:tx>
          <c:spPr>
            <a:ln w="38100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getGebraad2.6!$D$30:$D$34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getGebraad2.6!$E$30:$E$34</c:f>
              <c:numCache>
                <c:formatCode>General</c:formatCode>
                <c:ptCount val="5"/>
                <c:pt idx="0">
                  <c:v>1.11801829020912</c:v>
                </c:pt>
                <c:pt idx="1">
                  <c:v>1.18507861270739</c:v>
                </c:pt>
                <c:pt idx="2">
                  <c:v>1.25109689148784</c:v>
                </c:pt>
                <c:pt idx="3">
                  <c:v>1.31419830612135</c:v>
                </c:pt>
                <c:pt idx="4">
                  <c:v>1.38196791496524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6E5-4FA0-BFB0-ED6E8444DDB9}"/>
            </c:ext>
          </c:extLst>
        </c:ser>
        <c:ser>
          <c:idx val="5"/>
          <c:order val="5"/>
          <c:tx>
            <c:v>Total - FASTnAT</c:v>
          </c:tx>
          <c:spPr>
            <a:ln w="254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getGebraad2.6!$D$30:$D$34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getGebraad2.6!$F$30:$F$34</c:f>
              <c:numCache>
                <c:formatCode>General</c:formatCode>
                <c:ptCount val="5"/>
                <c:pt idx="0">
                  <c:v>2.98045148218853</c:v>
                </c:pt>
                <c:pt idx="1">
                  <c:v>3.0158914531080603</c:v>
                </c:pt>
                <c:pt idx="2">
                  <c:v>3.0171263477779897</c:v>
                </c:pt>
                <c:pt idx="3">
                  <c:v>2.9919051224573598</c:v>
                </c:pt>
                <c:pt idx="4">
                  <c:v>2.9258676614480796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00D-497D-8A0B-3DD9FE94C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40568"/>
        <c:axId val="556643128"/>
      </c:scatterChart>
      <c:valAx>
        <c:axId val="556640568"/>
        <c:scaling>
          <c:orientation val="minMax"/>
          <c:max val="4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Pitch</a:t>
                </a:r>
                <a:r>
                  <a:rPr lang="en-GB" sz="1600" baseline="0"/>
                  <a:t> offset turbine 1 [deg]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3128"/>
        <c:crosses val="autoZero"/>
        <c:crossBetween val="midCat"/>
        <c:majorUnit val="1"/>
      </c:valAx>
      <c:valAx>
        <c:axId val="556643128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Turbine</a:t>
                </a:r>
                <a:r>
                  <a:rPr lang="en-GB" sz="1600" baseline="0"/>
                  <a:t> power [MW]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0568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421963684005679E-3"/>
          <c:y val="0.79023952535830244"/>
          <c:w val="0.99255903260169043"/>
          <c:h val="0.209760339224965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Literature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vanderHoek!$C$14:$C$18</c:f>
              <c:numCache>
                <c:formatCode>General</c:formatCode>
                <c:ptCount val="5"/>
                <c:pt idx="0">
                  <c:v>0.61399999999999999</c:v>
                </c:pt>
                <c:pt idx="1">
                  <c:v>0.44</c:v>
                </c:pt>
                <c:pt idx="2">
                  <c:v>0.49199999999999999</c:v>
                </c:pt>
                <c:pt idx="3">
                  <c:v>0.48299999999999998</c:v>
                </c:pt>
                <c:pt idx="4">
                  <c:v>0.48199999999999998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C2-4D43-8E4E-802D195F1FD1}"/>
            </c:ext>
          </c:extLst>
        </c:ser>
        <c:ser>
          <c:idx val="1"/>
          <c:order val="1"/>
          <c:tx>
            <c:v>FASTnAT - baseline</c:v>
          </c:tx>
          <c:spPr>
            <a:ln w="381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vanderHoek!$E$14:$E$18</c:f>
              <c:numCache>
                <c:formatCode>General</c:formatCode>
                <c:ptCount val="5"/>
                <c:pt idx="0">
                  <c:v>0.62</c:v>
                </c:pt>
                <c:pt idx="1">
                  <c:v>0.37651873864889912</c:v>
                </c:pt>
                <c:pt idx="2">
                  <c:v>0.2556408924141465</c:v>
                </c:pt>
                <c:pt idx="3">
                  <c:v>0.36845402893568419</c:v>
                </c:pt>
                <c:pt idx="4">
                  <c:v>0.28605865635399297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C2-4D43-8E4E-802D195F1FD1}"/>
            </c:ext>
          </c:extLst>
        </c:ser>
        <c:ser>
          <c:idx val="2"/>
          <c:order val="2"/>
          <c:tx>
            <c:v>FASTnAT - WFC</c:v>
          </c:tx>
          <c:spPr>
            <a:ln w="38100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vanderHoek!$G$14:$G$18</c:f>
              <c:numCache>
                <c:formatCode>General</c:formatCode>
                <c:ptCount val="5"/>
                <c:pt idx="0">
                  <c:v>0.62</c:v>
                </c:pt>
                <c:pt idx="1">
                  <c:v>0.45462240025932982</c:v>
                </c:pt>
                <c:pt idx="2">
                  <c:v>0.31465770742562982</c:v>
                </c:pt>
                <c:pt idx="3">
                  <c:v>0.21677419354838684</c:v>
                </c:pt>
                <c:pt idx="4">
                  <c:v>0.22396076032992981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8C2-4D43-8E4E-802D195F1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240696"/>
        <c:axId val="363242296"/>
      </c:scatterChart>
      <c:valAx>
        <c:axId val="36324069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2296"/>
        <c:crosses val="autoZero"/>
        <c:crossBetween val="midCat"/>
        <c:majorUnit val="1"/>
      </c:valAx>
      <c:valAx>
        <c:axId val="363242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wind speed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0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Literature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vanderHoek!$D$14:$D$18</c:f>
              <c:numCache>
                <c:formatCode>General</c:formatCode>
                <c:ptCount val="5"/>
                <c:pt idx="0">
                  <c:v>9</c:v>
                </c:pt>
                <c:pt idx="1">
                  <c:v>21.8</c:v>
                </c:pt>
                <c:pt idx="2">
                  <c:v>24.4</c:v>
                </c:pt>
                <c:pt idx="3">
                  <c:v>26.1</c:v>
                </c:pt>
                <c:pt idx="4">
                  <c:v>26.700000000000003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14-44A7-8987-ED52FC6C790C}"/>
            </c:ext>
          </c:extLst>
        </c:ser>
        <c:ser>
          <c:idx val="1"/>
          <c:order val="1"/>
          <c:tx>
            <c:v>FASTnAT - baseline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vanderHoek!$F$14:$F$18</c:f>
              <c:numCache>
                <c:formatCode>General</c:formatCode>
                <c:ptCount val="5"/>
                <c:pt idx="0">
                  <c:v>9</c:v>
                </c:pt>
                <c:pt idx="1">
                  <c:v>19.804013368787601</c:v>
                </c:pt>
                <c:pt idx="2">
                  <c:v>32.205624786774202</c:v>
                </c:pt>
                <c:pt idx="3">
                  <c:v>37.7311039902416</c:v>
                </c:pt>
                <c:pt idx="4">
                  <c:v>42.1474128923264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14-44A7-8987-ED52FC6C790C}"/>
            </c:ext>
          </c:extLst>
        </c:ser>
        <c:ser>
          <c:idx val="2"/>
          <c:order val="2"/>
          <c:tx>
            <c:v>FASTnAT - WFC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vanderHoek!$H$14:$H$18</c:f>
              <c:numCache>
                <c:formatCode>General</c:formatCode>
                <c:ptCount val="5"/>
                <c:pt idx="0">
                  <c:v>9</c:v>
                </c:pt>
                <c:pt idx="1">
                  <c:v>15.6343160661142</c:v>
                </c:pt>
                <c:pt idx="2">
                  <c:v>26.790010741696101</c:v>
                </c:pt>
                <c:pt idx="3">
                  <c:v>38.488303405152699</c:v>
                </c:pt>
                <c:pt idx="4">
                  <c:v>44.449031533931198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14-44A7-8987-ED52FC6C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240696"/>
        <c:axId val="363242296"/>
      </c:scatterChart>
      <c:valAx>
        <c:axId val="36324069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2296"/>
        <c:crosses val="autoZero"/>
        <c:crossBetween val="midCat"/>
        <c:majorUnit val="1"/>
      </c:valAx>
      <c:valAx>
        <c:axId val="363242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Turbulence intensity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0696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57229311421999"/>
          <c:y val="3.1015887932361885E-2"/>
          <c:w val="0.86672413034671703"/>
          <c:h val="0.83487552427580436"/>
        </c:manualLayout>
      </c:layout>
      <c:barChart>
        <c:barDir val="col"/>
        <c:grouping val="clustered"/>
        <c:varyColors val="0"/>
        <c:ser>
          <c:idx val="0"/>
          <c:order val="0"/>
          <c:tx>
            <c:v>Baseline - literature</c:v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val>
            <c:numRef>
              <c:f>vanderHoek!$O$4:$O$8</c:f>
              <c:numCache>
                <c:formatCode>General</c:formatCode>
                <c:ptCount val="5"/>
                <c:pt idx="0">
                  <c:v>1</c:v>
                </c:pt>
                <c:pt idx="1">
                  <c:v>0.34615384615384615</c:v>
                </c:pt>
                <c:pt idx="2">
                  <c:v>0.49547511312217196</c:v>
                </c:pt>
                <c:pt idx="3">
                  <c:v>0.47058823529411764</c:v>
                </c:pt>
                <c:pt idx="4">
                  <c:v>0.46380090497737553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6F-4260-86E6-F094050A5888}"/>
            </c:ext>
          </c:extLst>
        </c:ser>
        <c:ser>
          <c:idx val="1"/>
          <c:order val="1"/>
          <c:tx>
            <c:v>WFC - Literature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vanderHoek!$P$4:$P$8</c:f>
              <c:numCache>
                <c:formatCode>General</c:formatCode>
                <c:ptCount val="5"/>
                <c:pt idx="0">
                  <c:v>0.86425339366515841</c:v>
                </c:pt>
                <c:pt idx="1">
                  <c:v>0.49095022624434387</c:v>
                </c:pt>
                <c:pt idx="2">
                  <c:v>0.55882352941176472</c:v>
                </c:pt>
                <c:pt idx="3">
                  <c:v>0.54072398190045246</c:v>
                </c:pt>
                <c:pt idx="4">
                  <c:v>0.51809954751131226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6F-4260-86E6-F094050A5888}"/>
            </c:ext>
          </c:extLst>
        </c:ser>
        <c:ser>
          <c:idx val="2"/>
          <c:order val="2"/>
          <c:tx>
            <c:v>Baseline - FASTnAT</c:v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val>
            <c:numRef>
              <c:f>vanderHoek!$Q$4:$Q$8</c:f>
              <c:numCache>
                <c:formatCode>General</c:formatCode>
                <c:ptCount val="5"/>
                <c:pt idx="0">
                  <c:v>1</c:v>
                </c:pt>
                <c:pt idx="1">
                  <c:v>0.18545260069751313</c:v>
                </c:pt>
                <c:pt idx="2">
                  <c:v>0</c:v>
                </c:pt>
                <c:pt idx="3">
                  <c:v>5.6084597093711677E-2</c:v>
                </c:pt>
                <c:pt idx="4">
                  <c:v>0.17041746229945129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6F-4260-86E6-F094050A5888}"/>
            </c:ext>
          </c:extLst>
        </c:ser>
        <c:ser>
          <c:idx val="3"/>
          <c:order val="3"/>
          <c:tx>
            <c:v>WFC - FASTnAT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vanderHoek!$R$4:$R$8</c:f>
              <c:numCache>
                <c:formatCode>General</c:formatCode>
                <c:ptCount val="5"/>
                <c:pt idx="0">
                  <c:v>0.90419219883844737</c:v>
                </c:pt>
                <c:pt idx="1">
                  <c:v>0.36676583616780384</c:v>
                </c:pt>
                <c:pt idx="2">
                  <c:v>8.4170802249417351E-2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6F-4260-86E6-F094050A5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4044472"/>
        <c:axId val="634045432"/>
      </c:barChart>
      <c:catAx>
        <c:axId val="634044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045432"/>
        <c:crosses val="autoZero"/>
        <c:auto val="1"/>
        <c:lblAlgn val="ctr"/>
        <c:lblOffset val="100"/>
        <c:noMultiLvlLbl val="0"/>
      </c:catAx>
      <c:valAx>
        <c:axId val="634045432"/>
        <c:scaling>
          <c:orientation val="minMax"/>
          <c:max val="1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044472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209445625951118"/>
          <c:y val="2.6573584685214542E-2"/>
          <c:w val="0.27330003199987118"/>
          <c:h val="0.31027535500742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560390618041002"/>
          <c:y val="4.2199813803787463E-2"/>
          <c:w val="0.83039957243920615"/>
          <c:h val="0.65345732969174042"/>
        </c:manualLayout>
      </c:layout>
      <c:scatterChart>
        <c:scatterStyle val="lineMarker"/>
        <c:varyColors val="0"/>
        <c:ser>
          <c:idx val="0"/>
          <c:order val="0"/>
          <c:tx>
            <c:v>Literature - measurements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4450" cap="sq">
                <a:solidFill>
                  <a:srgbClr val="FF0000"/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realData!$F$4:$F$13</c:f>
              <c:numCache>
                <c:formatCode>General</c:formatCode>
                <c:ptCount val="10"/>
                <c:pt idx="0">
                  <c:v>1</c:v>
                </c:pt>
                <c:pt idx="1">
                  <c:v>0.64</c:v>
                </c:pt>
                <c:pt idx="2">
                  <c:v>0.63400000000000001</c:v>
                </c:pt>
                <c:pt idx="3">
                  <c:v>0.60499999999999998</c:v>
                </c:pt>
                <c:pt idx="4">
                  <c:v>0.59299999999999997</c:v>
                </c:pt>
                <c:pt idx="5">
                  <c:v>0.58499999999999996</c:v>
                </c:pt>
                <c:pt idx="6">
                  <c:v>0.58099999999999996</c:v>
                </c:pt>
                <c:pt idx="7">
                  <c:v>0.59299999999999997</c:v>
                </c:pt>
                <c:pt idx="8">
                  <c:v>0.57899999999999996</c:v>
                </c:pt>
                <c:pt idx="9">
                  <c:v>0.57499999999999996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87-485E-88CE-0AE2EACA3B47}"/>
            </c:ext>
          </c:extLst>
        </c:ser>
        <c:ser>
          <c:idx val="2"/>
          <c:order val="1"/>
          <c:tx>
            <c:v>Literature - WAsP</c:v>
          </c:tx>
          <c:spPr>
            <a:ln w="381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44450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realData!$G$4:$G$13</c:f>
              <c:numCache>
                <c:formatCode>General</c:formatCode>
                <c:ptCount val="10"/>
                <c:pt idx="0">
                  <c:v>1</c:v>
                </c:pt>
                <c:pt idx="1">
                  <c:v>0.7</c:v>
                </c:pt>
                <c:pt idx="2">
                  <c:v>0.60299999999999998</c:v>
                </c:pt>
                <c:pt idx="3">
                  <c:v>0.55600000000000005</c:v>
                </c:pt>
                <c:pt idx="4">
                  <c:v>0.53</c:v>
                </c:pt>
                <c:pt idx="5">
                  <c:v>0.52200000000000002</c:v>
                </c:pt>
                <c:pt idx="6">
                  <c:v>0.50700000000000001</c:v>
                </c:pt>
                <c:pt idx="7">
                  <c:v>0.503</c:v>
                </c:pt>
                <c:pt idx="8">
                  <c:v>0.49299999999999999</c:v>
                </c:pt>
                <c:pt idx="9">
                  <c:v>0.49299999999999999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A7-4BC6-9422-F308135FA170}"/>
            </c:ext>
          </c:extLst>
        </c:ser>
        <c:ser>
          <c:idx val="1"/>
          <c:order val="2"/>
          <c:tx>
            <c:v>FASTnAT</c:v>
          </c:tx>
          <c:spPr>
            <a:ln w="381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44450">
                <a:solidFill>
                  <a:srgbClr val="0070C0"/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realData!$E$4:$E$13</c:f>
              <c:numCache>
                <c:formatCode>General</c:formatCode>
                <c:ptCount val="10"/>
                <c:pt idx="0">
                  <c:v>1</c:v>
                </c:pt>
                <c:pt idx="1">
                  <c:v>0.60005417874064093</c:v>
                </c:pt>
                <c:pt idx="2">
                  <c:v>0.56816679111568558</c:v>
                </c:pt>
                <c:pt idx="3">
                  <c:v>0.56397220703105333</c:v>
                </c:pt>
                <c:pt idx="4">
                  <c:v>0.56340018702102435</c:v>
                </c:pt>
                <c:pt idx="5">
                  <c:v>0.56331513557130486</c:v>
                </c:pt>
                <c:pt idx="6">
                  <c:v>0.56331531822191117</c:v>
                </c:pt>
                <c:pt idx="7">
                  <c:v>0.56331531822191117</c:v>
                </c:pt>
                <c:pt idx="8">
                  <c:v>0.56331531822191117</c:v>
                </c:pt>
                <c:pt idx="9">
                  <c:v>0.56331531822191117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87-485E-88CE-0AE2EACA3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498488"/>
        <c:axId val="590499128"/>
      </c:scatterChart>
      <c:valAx>
        <c:axId val="590498488"/>
        <c:scaling>
          <c:orientation val="minMax"/>
          <c:max val="10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layout>
            <c:manualLayout>
              <c:xMode val="edge"/>
              <c:yMode val="edge"/>
              <c:x val="0.39934553194282313"/>
              <c:y val="0.782910517802530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99128"/>
        <c:crosses val="autoZero"/>
        <c:crossBetween val="midCat"/>
        <c:majorUnit val="1"/>
      </c:valAx>
      <c:valAx>
        <c:axId val="590499128"/>
        <c:scaling>
          <c:orientation val="minMax"/>
          <c:max val="1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98488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6448439610144228E-2"/>
          <c:y val="0.87432215225429177"/>
          <c:w val="0.93494933456762264"/>
          <c:h val="7.3723240052703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FLORIS - Baseline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benchmark!$B$4:$B$9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TOTAL</c:v>
                </c:pt>
              </c:strCache>
            </c:strRef>
          </c:cat>
          <c:val>
            <c:numRef>
              <c:f>benchmark!$C$4:$C$9</c:f>
              <c:numCache>
                <c:formatCode>General</c:formatCode>
                <c:ptCount val="6"/>
                <c:pt idx="0">
                  <c:v>1.9530000000000001</c:v>
                </c:pt>
                <c:pt idx="1">
                  <c:v>0.79900000000000004</c:v>
                </c:pt>
                <c:pt idx="2">
                  <c:v>0.73</c:v>
                </c:pt>
                <c:pt idx="3">
                  <c:v>0.71</c:v>
                </c:pt>
                <c:pt idx="4">
                  <c:v>0.69</c:v>
                </c:pt>
                <c:pt idx="5">
                  <c:v>4.8819999999999997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8B4-4BCF-8943-5CA89D8F2853}"/>
            </c:ext>
          </c:extLst>
        </c:ser>
        <c:ser>
          <c:idx val="1"/>
          <c:order val="1"/>
          <c:tx>
            <c:v>FLORIS - Optimised</c:v>
          </c:tx>
          <c:spPr>
            <a:solidFill>
              <a:srgbClr val="FF9999"/>
            </a:solidFill>
            <a:ln>
              <a:noFill/>
            </a:ln>
            <a:effectLst/>
          </c:spPr>
          <c:invertIfNegative val="0"/>
          <c:cat>
            <c:strRef>
              <c:f>benchmark!$B$4:$B$9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TOTAL</c:v>
                </c:pt>
              </c:strCache>
            </c:strRef>
          </c:cat>
          <c:val>
            <c:numRef>
              <c:f>benchmark!$D$4:$D$9</c:f>
              <c:numCache>
                <c:formatCode>General</c:formatCode>
                <c:ptCount val="6"/>
                <c:pt idx="0">
                  <c:v>1.736</c:v>
                </c:pt>
                <c:pt idx="1">
                  <c:v>0.89700000000000002</c:v>
                </c:pt>
                <c:pt idx="2">
                  <c:v>0.98599999999999999</c:v>
                </c:pt>
                <c:pt idx="3">
                  <c:v>1.016</c:v>
                </c:pt>
                <c:pt idx="4">
                  <c:v>1.1439999999999999</c:v>
                </c:pt>
                <c:pt idx="5">
                  <c:v>5.7789999999999999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B4-4BCF-8943-5CA89D8F2853}"/>
            </c:ext>
          </c:extLst>
        </c:ser>
        <c:ser>
          <c:idx val="2"/>
          <c:order val="2"/>
          <c:tx>
            <c:v>SOWFA - Baseline</c:v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benchmark!$B$4:$B$9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TOTAL</c:v>
                </c:pt>
              </c:strCache>
            </c:strRef>
          </c:cat>
          <c:val>
            <c:numRef>
              <c:f>benchmark!$E$4:$E$9</c:f>
              <c:numCache>
                <c:formatCode>General</c:formatCode>
                <c:ptCount val="6"/>
                <c:pt idx="0">
                  <c:v>2.032</c:v>
                </c:pt>
                <c:pt idx="1">
                  <c:v>0.83799999999999997</c:v>
                </c:pt>
                <c:pt idx="2">
                  <c:v>0.77900000000000003</c:v>
                </c:pt>
                <c:pt idx="3">
                  <c:v>0.85799999999999998</c:v>
                </c:pt>
                <c:pt idx="4">
                  <c:v>0.92700000000000005</c:v>
                </c:pt>
                <c:pt idx="5">
                  <c:v>5.4339999999999993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B4-4BCF-8943-5CA89D8F2853}"/>
            </c:ext>
          </c:extLst>
        </c:ser>
        <c:ser>
          <c:idx val="3"/>
          <c:order val="3"/>
          <c:tx>
            <c:v>SOWFA - Optimised</c:v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benchmark!$B$4:$B$9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TOTAL</c:v>
                </c:pt>
              </c:strCache>
            </c:strRef>
          </c:cat>
          <c:val>
            <c:numRef>
              <c:f>benchmark!$F$4:$F$9</c:f>
              <c:numCache>
                <c:formatCode>General</c:formatCode>
                <c:ptCount val="6"/>
                <c:pt idx="0">
                  <c:v>1.8540000000000001</c:v>
                </c:pt>
                <c:pt idx="1">
                  <c:v>0.74</c:v>
                </c:pt>
                <c:pt idx="2">
                  <c:v>0.73</c:v>
                </c:pt>
                <c:pt idx="3">
                  <c:v>0.75900000000000001</c:v>
                </c:pt>
                <c:pt idx="4">
                  <c:v>0.92700000000000005</c:v>
                </c:pt>
                <c:pt idx="5">
                  <c:v>5.01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8B4-4BCF-8943-5CA89D8F2853}"/>
            </c:ext>
          </c:extLst>
        </c:ser>
        <c:ser>
          <c:idx val="4"/>
          <c:order val="4"/>
          <c:tx>
            <c:v>FASTnAT - Baseline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benchmark!$B$4:$B$9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TOTAL</c:v>
                </c:pt>
              </c:strCache>
            </c:strRef>
          </c:cat>
          <c:val>
            <c:numRef>
              <c:f>benchmark!$I$4:$I$9</c:f>
              <c:numCache>
                <c:formatCode>General</c:formatCode>
                <c:ptCount val="6"/>
                <c:pt idx="0">
                  <c:v>1.8623177701526499</c:v>
                </c:pt>
                <c:pt idx="1">
                  <c:v>1.11749156012305</c:v>
                </c:pt>
                <c:pt idx="2">
                  <c:v>1.05810711150535</c:v>
                </c:pt>
                <c:pt idx="3">
                  <c:v>1.0502954630261399</c:v>
                </c:pt>
                <c:pt idx="4">
                  <c:v>1.0492301799965802</c:v>
                </c:pt>
                <c:pt idx="5">
                  <c:v>6.1374420848037703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8B4-4BCF-8943-5CA89D8F2853}"/>
            </c:ext>
          </c:extLst>
        </c:ser>
        <c:ser>
          <c:idx val="5"/>
          <c:order val="5"/>
          <c:tx>
            <c:v>FASTnAT - Optimised</c:v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benchmark!$B$4:$B$9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TOTAL</c:v>
                </c:pt>
              </c:strCache>
            </c:strRef>
          </c:cat>
          <c:val>
            <c:numRef>
              <c:f>benchmark!$J$4:$J$9</c:f>
              <c:numCache>
                <c:formatCode>General</c:formatCode>
                <c:ptCount val="6"/>
                <c:pt idx="0">
                  <c:v>1.8621724995547899</c:v>
                </c:pt>
                <c:pt idx="1">
                  <c:v>0.841903559297977</c:v>
                </c:pt>
                <c:pt idx="2">
                  <c:v>0.98584773458992503</c:v>
                </c:pt>
                <c:pt idx="3">
                  <c:v>1.03704800761073</c:v>
                </c:pt>
                <c:pt idx="4">
                  <c:v>1.04280023432841</c:v>
                </c:pt>
                <c:pt idx="5">
                  <c:v>5.7697720353818314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8B4-4BCF-8943-5CA89D8F28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16"/>
        <c:axId val="363336888"/>
        <c:axId val="363335288"/>
      </c:barChart>
      <c:catAx>
        <c:axId val="3633368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335288"/>
        <c:crosses val="autoZero"/>
        <c:auto val="1"/>
        <c:lblAlgn val="ctr"/>
        <c:lblOffset val="100"/>
        <c:tickMarkSkip val="1"/>
        <c:noMultiLvlLbl val="0"/>
      </c:catAx>
      <c:valAx>
        <c:axId val="363335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Average Power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336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FAST10AT Power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randomCalculations!$I$4:$I$13</c:f>
              <c:numCache>
                <c:formatCode>General</c:formatCode>
                <c:ptCount val="10"/>
                <c:pt idx="0">
                  <c:v>8</c:v>
                </c:pt>
                <c:pt idx="1">
                  <c:v>6.7678780082193901</c:v>
                </c:pt>
                <c:pt idx="2">
                  <c:v>6.6497850704675301</c:v>
                </c:pt>
                <c:pt idx="3">
                  <c:v>6.6338469468619303</c:v>
                </c:pt>
                <c:pt idx="4">
                  <c:v>6.6316911222024704</c:v>
                </c:pt>
                <c:pt idx="5">
                  <c:v>6.6314231521639098</c:v>
                </c:pt>
                <c:pt idx="6">
                  <c:v>6.6313834887782797</c:v>
                </c:pt>
                <c:pt idx="7">
                  <c:v>6.6313829939712896</c:v>
                </c:pt>
                <c:pt idx="8">
                  <c:v>6.6313829939712896</c:v>
                </c:pt>
                <c:pt idx="9">
                  <c:v>6.6313829939712896</c:v>
                </c:pt>
              </c:numCache>
            </c:numRef>
          </c:xVal>
          <c:yVal>
            <c:numRef>
              <c:f>randomCalculations!$K$4:$K$13</c:f>
              <c:numCache>
                <c:formatCode>General</c:formatCode>
                <c:ptCount val="10"/>
                <c:pt idx="0">
                  <c:v>1862.2114847831399</c:v>
                </c:pt>
                <c:pt idx="1">
                  <c:v>1117.8856148795001</c:v>
                </c:pt>
                <c:pt idx="2">
                  <c:v>1058.5325862749801</c:v>
                </c:pt>
                <c:pt idx="3">
                  <c:v>1050.7277584186099</c:v>
                </c:pt>
                <c:pt idx="4">
                  <c:v>1049.6639792430001</c:v>
                </c:pt>
                <c:pt idx="5">
                  <c:v>1049.5058538292001</c:v>
                </c:pt>
                <c:pt idx="6">
                  <c:v>1049.5062165581801</c:v>
                </c:pt>
                <c:pt idx="7">
                  <c:v>1049.5062165581801</c:v>
                </c:pt>
                <c:pt idx="8">
                  <c:v>1049.5062165581801</c:v>
                </c:pt>
                <c:pt idx="9">
                  <c:v>1049.5062165581801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1E-4F2B-B0EE-37656353F0A0}"/>
            </c:ext>
          </c:extLst>
        </c:ser>
        <c:ser>
          <c:idx val="1"/>
          <c:order val="1"/>
          <c:tx>
            <c:v>pol Power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randomCalculations!$M$4:$M$13</c:f>
              <c:numCache>
                <c:formatCode>General</c:formatCode>
                <c:ptCount val="10"/>
                <c:pt idx="0">
                  <c:v>8</c:v>
                </c:pt>
                <c:pt idx="1">
                  <c:v>7.8</c:v>
                </c:pt>
                <c:pt idx="2">
                  <c:v>7.6</c:v>
                </c:pt>
                <c:pt idx="3">
                  <c:v>7.3999999999999995</c:v>
                </c:pt>
                <c:pt idx="4">
                  <c:v>7.1999999999999993</c:v>
                </c:pt>
                <c:pt idx="5">
                  <c:v>6.9999999999999991</c:v>
                </c:pt>
                <c:pt idx="6">
                  <c:v>6.7999999999999989</c:v>
                </c:pt>
                <c:pt idx="7">
                  <c:v>6.5999999999999988</c:v>
                </c:pt>
                <c:pt idx="8">
                  <c:v>6.3999999999999986</c:v>
                </c:pt>
                <c:pt idx="9">
                  <c:v>6.1999999999999984</c:v>
                </c:pt>
              </c:numCache>
            </c:numRef>
          </c:xVal>
          <c:yVal>
            <c:numRef>
              <c:f>randomCalculations!$O$4:$O$13</c:f>
              <c:numCache>
                <c:formatCode>General</c:formatCode>
                <c:ptCount val="10"/>
                <c:pt idx="0">
                  <c:v>1862.27236438407</c:v>
                </c:pt>
                <c:pt idx="1">
                  <c:v>1727.16023040103</c:v>
                </c:pt>
                <c:pt idx="2">
                  <c:v>1598.27447438082</c:v>
                </c:pt>
                <c:pt idx="3">
                  <c:v>1475.46942100358</c:v>
                </c:pt>
                <c:pt idx="4">
                  <c:v>1358.59939494947</c:v>
                </c:pt>
                <c:pt idx="5">
                  <c:v>1247.5187208986499</c:v>
                </c:pt>
                <c:pt idx="6">
                  <c:v>1142.08172353126</c:v>
                </c:pt>
                <c:pt idx="7">
                  <c:v>1042.14272752746</c:v>
                </c:pt>
                <c:pt idx="8">
                  <c:v>947.55605756739601</c:v>
                </c:pt>
                <c:pt idx="9">
                  <c:v>858.17603833122996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51E-4F2B-B0EE-37656353F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1422968"/>
        <c:axId val="441419128"/>
      </c:scatterChart>
      <c:valAx>
        <c:axId val="441422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Wind speed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1419128"/>
        <c:crosses val="autoZero"/>
        <c:crossBetween val="midCat"/>
      </c:valAx>
      <c:valAx>
        <c:axId val="441419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Averag Power []kW]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14229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turb1 Power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randomCalculations!$I$17:$I$21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randomCalculations!$J$17:$J$21</c:f>
              <c:numCache>
                <c:formatCode>General</c:formatCode>
                <c:ptCount val="5"/>
                <c:pt idx="0">
                  <c:v>1.8624331919794099</c:v>
                </c:pt>
                <c:pt idx="1">
                  <c:v>1.83081284040067</c:v>
                </c:pt>
                <c:pt idx="2">
                  <c:v>1.76602945629015</c:v>
                </c:pt>
                <c:pt idx="3">
                  <c:v>1.67770681633601</c:v>
                </c:pt>
                <c:pt idx="4">
                  <c:v>1.5438997464828399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4B-4F77-83FC-CDABC8522167}"/>
            </c:ext>
          </c:extLst>
        </c:ser>
        <c:ser>
          <c:idx val="1"/>
          <c:order val="1"/>
          <c:tx>
            <c:v>Poli turb1 Power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randomCalculations!$M$17:$M$21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randomCalculations!$N$17:$N$21</c:f>
              <c:numCache>
                <c:formatCode>General</c:formatCode>
                <c:ptCount val="5"/>
                <c:pt idx="0">
                  <c:v>1.86227236438407</c:v>
                </c:pt>
                <c:pt idx="1">
                  <c:v>1.84073818957321</c:v>
                </c:pt>
                <c:pt idx="2">
                  <c:v>1.7823081104824701</c:v>
                </c:pt>
                <c:pt idx="3">
                  <c:v>1.68251894855007</c:v>
                </c:pt>
                <c:pt idx="4">
                  <c:v>1.5511790169194402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64B-4F77-83FC-CDABC8522167}"/>
            </c:ext>
          </c:extLst>
        </c:ser>
        <c:ser>
          <c:idx val="2"/>
          <c:order val="2"/>
          <c:tx>
            <c:v>FAST sumPwer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randomCalculations!$I$17:$I$21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randomCalculations!$L$17:$L$21</c:f>
              <c:numCache>
                <c:formatCode>General</c:formatCode>
                <c:ptCount val="5"/>
                <c:pt idx="0">
                  <c:v>2.98045148218853</c:v>
                </c:pt>
                <c:pt idx="1">
                  <c:v>3.0158914531080598</c:v>
                </c:pt>
                <c:pt idx="2">
                  <c:v>3.0171263477779999</c:v>
                </c:pt>
                <c:pt idx="3">
                  <c:v>2.9919051224573701</c:v>
                </c:pt>
                <c:pt idx="4">
                  <c:v>2.9258676614480801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64B-4F77-83FC-CDABC8522167}"/>
            </c:ext>
          </c:extLst>
        </c:ser>
        <c:ser>
          <c:idx val="3"/>
          <c:order val="3"/>
          <c:tx>
            <c:v>poli sumPwer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randomCalculations!$M$17:$M$21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randomCalculations!$P$17:$P$21</c:f>
              <c:numCache>
                <c:formatCode>General</c:formatCode>
                <c:ptCount val="5"/>
                <c:pt idx="0">
                  <c:v>2.9898143455716397</c:v>
                </c:pt>
                <c:pt idx="1">
                  <c:v>3.0339714852694901</c:v>
                </c:pt>
                <c:pt idx="2">
                  <c:v>3.0407952588386804</c:v>
                </c:pt>
                <c:pt idx="3">
                  <c:v>3.0027829270077602</c:v>
                </c:pt>
                <c:pt idx="4">
                  <c:v>2.93814490852382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64B-4F77-83FC-CDABC8522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658352"/>
        <c:axId val="426756080"/>
      </c:scatterChart>
      <c:valAx>
        <c:axId val="425658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Pitch offset on turb 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756080"/>
        <c:crosses val="autoZero"/>
        <c:crossBetween val="midCat"/>
      </c:valAx>
      <c:valAx>
        <c:axId val="426756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Average Power [MW]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6583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sumLds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randomCalculations!$I$17:$I$21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randomCalculations!$L$23:$L$27</c:f>
              <c:numCache>
                <c:formatCode>General</c:formatCode>
                <c:ptCount val="5"/>
                <c:pt idx="0">
                  <c:v>1380.9188890795399</c:v>
                </c:pt>
                <c:pt idx="1">
                  <c:v>1375.9450294703099</c:v>
                </c:pt>
                <c:pt idx="2">
                  <c:v>1373.5814769315</c:v>
                </c:pt>
                <c:pt idx="3">
                  <c:v>1373.29453582466</c:v>
                </c:pt>
                <c:pt idx="4">
                  <c:v>1379.4181376394399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E6-4893-BA50-C891B42F5E41}"/>
            </c:ext>
          </c:extLst>
        </c:ser>
        <c:ser>
          <c:idx val="1"/>
          <c:order val="1"/>
          <c:tx>
            <c:v>poli sumLds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randomCalculations!$M$17:$M$21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randomCalculations!$P$23:$P$27</c:f>
              <c:numCache>
                <c:formatCode>General</c:formatCode>
                <c:ptCount val="5"/>
                <c:pt idx="0">
                  <c:v>1385.36986296854</c:v>
                </c:pt>
                <c:pt idx="1">
                  <c:v>1379.97501266734</c:v>
                </c:pt>
                <c:pt idx="2">
                  <c:v>1376.37641705698</c:v>
                </c:pt>
                <c:pt idx="3">
                  <c:v>1375.55364985605</c:v>
                </c:pt>
                <c:pt idx="4">
                  <c:v>1372.1260269776999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E6-4893-BA50-C891B42F5E41}"/>
            </c:ext>
          </c:extLst>
        </c:ser>
        <c:ser>
          <c:idx val="2"/>
          <c:order val="2"/>
          <c:tx>
            <c:v>FAST turb1 loads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randomCalculations!$I$17:$I$21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randomCalculations!$J$23:$J$27</c:f>
              <c:numCache>
                <c:formatCode>General</c:formatCode>
                <c:ptCount val="5"/>
                <c:pt idx="0">
                  <c:v>666.13449478096197</c:v>
                </c:pt>
                <c:pt idx="1">
                  <c:v>669.06609949875894</c:v>
                </c:pt>
                <c:pt idx="2">
                  <c:v>673.61970742711799</c:v>
                </c:pt>
                <c:pt idx="3">
                  <c:v>680.81802901444098</c:v>
                </c:pt>
                <c:pt idx="4">
                  <c:v>691.91398352151498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8E6-4893-BA50-C891B42F5E41}"/>
            </c:ext>
          </c:extLst>
        </c:ser>
        <c:ser>
          <c:idx val="3"/>
          <c:order val="3"/>
          <c:tx>
            <c:v>FAST turb2 load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randomCalculations!$I$17:$I$21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randomCalculations!$K$23:$K$27</c:f>
              <c:numCache>
                <c:formatCode>General</c:formatCode>
                <c:ptCount val="5"/>
                <c:pt idx="0">
                  <c:v>714.78439429857497</c:v>
                </c:pt>
                <c:pt idx="1">
                  <c:v>706.87892997154904</c:v>
                </c:pt>
                <c:pt idx="2">
                  <c:v>699.96176950438098</c:v>
                </c:pt>
                <c:pt idx="3">
                  <c:v>692.47650681021901</c:v>
                </c:pt>
                <c:pt idx="4">
                  <c:v>687.50415411792596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8E6-4893-BA50-C891B42F5E41}"/>
            </c:ext>
          </c:extLst>
        </c:ser>
        <c:ser>
          <c:idx val="4"/>
          <c:order val="4"/>
          <c:tx>
            <c:v>poli turb1 load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randomCalculations!$M$17:$M$21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randomCalculations!$M$23:$M$27</c:f>
              <c:numCache>
                <c:formatCode>General</c:formatCode>
                <c:ptCount val="5"/>
                <c:pt idx="0">
                  <c:v>654.51337238045699</c:v>
                </c:pt>
                <c:pt idx="1">
                  <c:v>656.28564790461803</c:v>
                </c:pt>
                <c:pt idx="2">
                  <c:v>660.42925981631004</c:v>
                </c:pt>
                <c:pt idx="3">
                  <c:v>667.43248551880095</c:v>
                </c:pt>
                <c:pt idx="4">
                  <c:v>672.87938661256101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8E6-4893-BA50-C891B42F5E41}"/>
            </c:ext>
          </c:extLst>
        </c:ser>
        <c:ser>
          <c:idx val="5"/>
          <c:order val="5"/>
          <c:tx>
            <c:v>poli turb2 load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randomCalculations!$M$17:$M$21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randomCalculations!$N$23:$N$27</c:f>
              <c:numCache>
                <c:formatCode>General</c:formatCode>
                <c:ptCount val="5"/>
                <c:pt idx="0">
                  <c:v>730.85649058808701</c:v>
                </c:pt>
                <c:pt idx="1">
                  <c:v>723.68936476272404</c:v>
                </c:pt>
                <c:pt idx="2">
                  <c:v>715.94715724067396</c:v>
                </c:pt>
                <c:pt idx="3">
                  <c:v>708.12116433724395</c:v>
                </c:pt>
                <c:pt idx="4">
                  <c:v>699.24664036514105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8E6-4893-BA50-C891B42F5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5322296"/>
        <c:axId val="525325816"/>
      </c:scatterChart>
      <c:valAx>
        <c:axId val="525322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Pitch</a:t>
                </a:r>
                <a:r>
                  <a:rPr lang="en-GB" baseline="0"/>
                  <a:t> offset on turb 1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5325816"/>
        <c:crosses val="autoZero"/>
        <c:crossBetween val="midCat"/>
      </c:valAx>
      <c:valAx>
        <c:axId val="525325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SD of CBRBM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5322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273465</xdr:colOff>
      <xdr:row>1</xdr:row>
      <xdr:rowOff>145278</xdr:rowOff>
    </xdr:from>
    <xdr:to>
      <xdr:col>24</xdr:col>
      <xdr:colOff>538384</xdr:colOff>
      <xdr:row>17</xdr:row>
      <xdr:rowOff>17091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BE7081-420E-4F27-A204-9E8E4890A3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367469</xdr:colOff>
      <xdr:row>17</xdr:row>
      <xdr:rowOff>136731</xdr:rowOff>
    </xdr:from>
    <xdr:to>
      <xdr:col>25</xdr:col>
      <xdr:colOff>17091</xdr:colOff>
      <xdr:row>33</xdr:row>
      <xdr:rowOff>8544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2FB2E7E-1C27-49DF-B94C-CAA892A291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341832</xdr:colOff>
      <xdr:row>33</xdr:row>
      <xdr:rowOff>59820</xdr:rowOff>
    </xdr:from>
    <xdr:to>
      <xdr:col>25</xdr:col>
      <xdr:colOff>179460</xdr:colOff>
      <xdr:row>49</xdr:row>
      <xdr:rowOff>42728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7E7056A-E17D-424B-B458-5201DAB8AE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273464</xdr:colOff>
      <xdr:row>2</xdr:row>
      <xdr:rowOff>102550</xdr:rowOff>
    </xdr:from>
    <xdr:to>
      <xdr:col>18</xdr:col>
      <xdr:colOff>606751</xdr:colOff>
      <xdr:row>28</xdr:row>
      <xdr:rowOff>59822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D1500E-9D96-49FE-921B-3F464C5D20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615297</xdr:colOff>
      <xdr:row>36</xdr:row>
      <xdr:rowOff>34181</xdr:rowOff>
    </xdr:from>
    <xdr:to>
      <xdr:col>20</xdr:col>
      <xdr:colOff>606752</xdr:colOff>
      <xdr:row>65</xdr:row>
      <xdr:rowOff>51275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895C13-715F-4EEB-B42E-CB66BD4C31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401653</xdr:colOff>
      <xdr:row>0</xdr:row>
      <xdr:rowOff>0</xdr:rowOff>
    </xdr:from>
    <xdr:to>
      <xdr:col>27</xdr:col>
      <xdr:colOff>162370</xdr:colOff>
      <xdr:row>32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457721-AD0E-4C1A-B891-7E0E573EC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136733</xdr:colOff>
      <xdr:row>19</xdr:row>
      <xdr:rowOff>68367</xdr:rowOff>
    </xdr:from>
    <xdr:to>
      <xdr:col>12</xdr:col>
      <xdr:colOff>273466</xdr:colOff>
      <xdr:row>40</xdr:row>
      <xdr:rowOff>25638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6E2FEB-ED9F-42D3-A6E7-7B115A2DE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43</xdr:row>
      <xdr:rowOff>0</xdr:rowOff>
    </xdr:from>
    <xdr:to>
      <xdr:col>12</xdr:col>
      <xdr:colOff>136733</xdr:colOff>
      <xdr:row>63</xdr:row>
      <xdr:rowOff>136732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AB4D50-8912-46CF-8103-FEBDE1194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111094</xdr:colOff>
      <xdr:row>10</xdr:row>
      <xdr:rowOff>102548</xdr:rowOff>
    </xdr:from>
    <xdr:to>
      <xdr:col>24</xdr:col>
      <xdr:colOff>299103</xdr:colOff>
      <xdr:row>41</xdr:row>
      <xdr:rowOff>85458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0C70D24-07A5-421C-BDA5-E2A6D90984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495656</xdr:colOff>
      <xdr:row>3</xdr:row>
      <xdr:rowOff>17091</xdr:rowOff>
    </xdr:from>
    <xdr:to>
      <xdr:col>18</xdr:col>
      <xdr:colOff>487110</xdr:colOff>
      <xdr:row>25</xdr:row>
      <xdr:rowOff>17092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0CBDEF-4659-43D0-A482-AE0DA01777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256373</xdr:colOff>
      <xdr:row>0</xdr:row>
      <xdr:rowOff>42729</xdr:rowOff>
    </xdr:from>
    <xdr:to>
      <xdr:col>25</xdr:col>
      <xdr:colOff>256373</xdr:colOff>
      <xdr:row>37</xdr:row>
      <xdr:rowOff>136733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6ADA28-4DFD-4420-A8C6-EAF013DFA9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333286</xdr:colOff>
      <xdr:row>1</xdr:row>
      <xdr:rowOff>102549</xdr:rowOff>
    </xdr:from>
    <xdr:to>
      <xdr:col>25</xdr:col>
      <xdr:colOff>145278</xdr:colOff>
      <xdr:row>19</xdr:row>
      <xdr:rowOff>59820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25A60C-76CF-4D01-9A40-D0B1975610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427290</xdr:colOff>
      <xdr:row>17</xdr:row>
      <xdr:rowOff>94003</xdr:rowOff>
    </xdr:from>
    <xdr:to>
      <xdr:col>18</xdr:col>
      <xdr:colOff>76912</xdr:colOff>
      <xdr:row>32</xdr:row>
      <xdr:rowOff>145278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929844-0A44-48E5-B553-2B66076447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401652</xdr:colOff>
      <xdr:row>33</xdr:row>
      <xdr:rowOff>17091</xdr:rowOff>
    </xdr:from>
    <xdr:to>
      <xdr:col>22</xdr:col>
      <xdr:colOff>589659</xdr:colOff>
      <xdr:row>63</xdr:row>
      <xdr:rowOff>85458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D5DF3E-7EED-420D-8BCC-5D77E099BB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F4E33-2105-4903-93AB-990BBB088814}">
  <dimension ref="A1:P35"/>
  <sheetViews>
    <sheetView topLeftCell="B10" workbookViewId="0">
      <selection activeCell="H34" sqref="H2:Q34"/>
    </sheetView>
  </sheetViews>
  <sheetFormatPr defaultRowHeight="14.15" x14ac:dyDescent="0.25"/>
  <cols>
    <col min="1" max="1" width="9.25" customWidth="1"/>
    <col min="5" max="5" width="10" customWidth="1"/>
    <col min="11" max="11" width="9" customWidth="1"/>
  </cols>
  <sheetData>
    <row r="1" spans="1:16" x14ac:dyDescent="0.25">
      <c r="G1" s="4"/>
    </row>
    <row r="2" spans="1:16" x14ac:dyDescent="0.25">
      <c r="G2" s="4"/>
      <c r="I2" s="6" t="s">
        <v>51</v>
      </c>
      <c r="J2" s="6"/>
      <c r="K2" s="6"/>
      <c r="M2" s="6" t="s">
        <v>52</v>
      </c>
      <c r="N2" s="6"/>
      <c r="O2" s="6"/>
    </row>
    <row r="3" spans="1:16" x14ac:dyDescent="0.25">
      <c r="C3" t="s">
        <v>0</v>
      </c>
      <c r="D3" t="s">
        <v>1</v>
      </c>
      <c r="E3" t="s">
        <v>6</v>
      </c>
      <c r="G3" s="4"/>
      <c r="I3" t="s">
        <v>49</v>
      </c>
      <c r="J3" t="s">
        <v>10</v>
      </c>
      <c r="K3" t="s">
        <v>50</v>
      </c>
      <c r="L3" t="s">
        <v>53</v>
      </c>
      <c r="M3" t="s">
        <v>49</v>
      </c>
      <c r="N3" t="s">
        <v>10</v>
      </c>
      <c r="O3" t="s">
        <v>50</v>
      </c>
      <c r="P3" t="s">
        <v>53</v>
      </c>
    </row>
    <row r="4" spans="1:16" x14ac:dyDescent="0.25">
      <c r="A4" t="s">
        <v>2</v>
      </c>
      <c r="B4" t="s">
        <v>3</v>
      </c>
      <c r="C4">
        <v>0.48060000000000003</v>
      </c>
      <c r="D4">
        <v>0.47970000000000002</v>
      </c>
      <c r="E4" s="1">
        <f>((D4-C4)/C4)*100</f>
        <v>-0.18726591760299874</v>
      </c>
      <c r="G4" s="4"/>
      <c r="I4">
        <v>8</v>
      </c>
      <c r="J4">
        <v>6</v>
      </c>
      <c r="K4">
        <v>1862.2114847831399</v>
      </c>
      <c r="L4">
        <v>673.60295164024296</v>
      </c>
      <c r="M4">
        <v>8</v>
      </c>
      <c r="N4">
        <v>6</v>
      </c>
      <c r="O4">
        <v>1862.27236438407</v>
      </c>
    </row>
    <row r="5" spans="1:16" x14ac:dyDescent="0.25">
      <c r="B5" t="s">
        <v>4</v>
      </c>
      <c r="C5">
        <v>2.1499999999999998E-2</v>
      </c>
      <c r="D5">
        <v>2.1499999999999998E-2</v>
      </c>
      <c r="E5" s="1">
        <f t="shared" ref="E5:E15" si="0">((D5-C5)/C5)*100</f>
        <v>0</v>
      </c>
      <c r="G5" s="4"/>
      <c r="I5">
        <v>6.7678780082193901</v>
      </c>
      <c r="J5">
        <v>13.123786853401301</v>
      </c>
      <c r="K5">
        <v>1117.8856148795001</v>
      </c>
      <c r="L5">
        <v>718.12600677310195</v>
      </c>
      <c r="M5">
        <f>M4-0.2</f>
        <v>7.8</v>
      </c>
      <c r="N5">
        <f>N4+1</f>
        <v>7</v>
      </c>
      <c r="O5">
        <v>1727.16023040103</v>
      </c>
    </row>
    <row r="6" spans="1:16" x14ac:dyDescent="0.25">
      <c r="B6" t="s">
        <v>5</v>
      </c>
      <c r="C6">
        <v>0.14660000000000001</v>
      </c>
      <c r="D6">
        <v>0.15709999999999999</v>
      </c>
      <c r="E6" s="1">
        <f t="shared" si="0"/>
        <v>7.1623465211459623</v>
      </c>
      <c r="G6" s="4"/>
      <c r="I6">
        <v>6.6497850704675301</v>
      </c>
      <c r="J6">
        <v>13.9520578144542</v>
      </c>
      <c r="K6">
        <v>1058.5325862749801</v>
      </c>
      <c r="L6">
        <v>727.267181087484</v>
      </c>
      <c r="M6">
        <f t="shared" ref="M6:M13" si="1">M5-0.2</f>
        <v>7.6</v>
      </c>
      <c r="N6">
        <f t="shared" ref="N6:N13" si="2">N5+1</f>
        <v>8</v>
      </c>
      <c r="O6">
        <v>1598.27447438082</v>
      </c>
    </row>
    <row r="7" spans="1:16" x14ac:dyDescent="0.25">
      <c r="A7" t="s">
        <v>7</v>
      </c>
      <c r="B7" t="s">
        <v>3</v>
      </c>
      <c r="C7">
        <v>0.76749999999999996</v>
      </c>
      <c r="D7">
        <v>0.77210000000000001</v>
      </c>
      <c r="E7" s="1">
        <f t="shared" si="0"/>
        <v>0.59934853420196077</v>
      </c>
      <c r="G7" s="4"/>
      <c r="I7">
        <v>6.6338469468619303</v>
      </c>
      <c r="J7">
        <v>14.063798371775199</v>
      </c>
      <c r="K7">
        <v>1050.7277584186099</v>
      </c>
      <c r="L7">
        <v>729.01811603343594</v>
      </c>
      <c r="M7">
        <f t="shared" si="1"/>
        <v>7.3999999999999995</v>
      </c>
      <c r="N7">
        <f t="shared" si="2"/>
        <v>9</v>
      </c>
      <c r="O7">
        <v>1475.46942100358</v>
      </c>
    </row>
    <row r="8" spans="1:16" x14ac:dyDescent="0.25">
      <c r="B8" t="s">
        <v>4</v>
      </c>
      <c r="C8">
        <v>2.2599999999999999E-2</v>
      </c>
      <c r="D8">
        <v>2.92E-2</v>
      </c>
      <c r="E8" s="1">
        <f t="shared" si="0"/>
        <v>29.20353982300886</v>
      </c>
      <c r="G8" s="4"/>
      <c r="I8">
        <v>6.6316911222024704</v>
      </c>
      <c r="J8">
        <v>14.0789111042744</v>
      </c>
      <c r="K8">
        <v>1049.6639792430001</v>
      </c>
      <c r="L8">
        <v>729.13447709129298</v>
      </c>
      <c r="M8">
        <f t="shared" si="1"/>
        <v>7.1999999999999993</v>
      </c>
      <c r="N8">
        <f t="shared" si="2"/>
        <v>10</v>
      </c>
      <c r="O8">
        <v>1358.59939494947</v>
      </c>
    </row>
    <row r="9" spans="1:16" x14ac:dyDescent="0.25">
      <c r="B9" t="s">
        <v>5</v>
      </c>
      <c r="C9">
        <v>0.1515</v>
      </c>
      <c r="D9">
        <v>0.18049999999999999</v>
      </c>
      <c r="E9" s="1">
        <f t="shared" si="0"/>
        <v>19.14191419141914</v>
      </c>
      <c r="G9" s="4"/>
      <c r="I9">
        <v>6.6314231521639098</v>
      </c>
      <c r="J9">
        <v>14.0807895971923</v>
      </c>
      <c r="K9">
        <v>1049.5058538292001</v>
      </c>
      <c r="L9">
        <v>729.15092682587397</v>
      </c>
      <c r="M9">
        <f t="shared" si="1"/>
        <v>6.9999999999999991</v>
      </c>
      <c r="N9">
        <f t="shared" si="2"/>
        <v>11</v>
      </c>
      <c r="O9">
        <v>1247.5187208986499</v>
      </c>
    </row>
    <row r="10" spans="1:16" x14ac:dyDescent="0.25">
      <c r="A10" t="s">
        <v>8</v>
      </c>
      <c r="B10" t="s">
        <v>3</v>
      </c>
      <c r="C10">
        <v>7.6210000000000004</v>
      </c>
      <c r="D10">
        <v>7.7089999999999996</v>
      </c>
      <c r="E10" s="1">
        <f t="shared" si="0"/>
        <v>1.1547041070725521</v>
      </c>
      <c r="G10" s="4"/>
      <c r="I10">
        <v>6.6313834887782797</v>
      </c>
      <c r="J10">
        <v>14.081067640411799</v>
      </c>
      <c r="K10">
        <v>1049.5062165581801</v>
      </c>
      <c r="L10">
        <v>729.15574398586</v>
      </c>
      <c r="M10">
        <f t="shared" si="1"/>
        <v>6.7999999999999989</v>
      </c>
      <c r="N10">
        <f t="shared" si="2"/>
        <v>12</v>
      </c>
      <c r="O10">
        <v>1142.08172353126</v>
      </c>
    </row>
    <row r="11" spans="1:16" x14ac:dyDescent="0.25">
      <c r="B11" t="s">
        <v>4</v>
      </c>
      <c r="C11">
        <v>0.22450000000000001</v>
      </c>
      <c r="D11">
        <v>0.42870000000000003</v>
      </c>
      <c r="E11" s="1">
        <f t="shared" si="0"/>
        <v>90.957683741648111</v>
      </c>
      <c r="G11" s="4"/>
      <c r="I11">
        <v>6.6313829939712896</v>
      </c>
      <c r="J11">
        <v>14.081071109044</v>
      </c>
      <c r="K11">
        <v>1049.5062165581801</v>
      </c>
      <c r="L11">
        <v>729.15574398586</v>
      </c>
      <c r="M11">
        <f t="shared" si="1"/>
        <v>6.5999999999999988</v>
      </c>
      <c r="N11">
        <f t="shared" si="2"/>
        <v>13</v>
      </c>
      <c r="O11">
        <v>1042.14272752746</v>
      </c>
    </row>
    <row r="12" spans="1:16" x14ac:dyDescent="0.25">
      <c r="B12" t="s">
        <v>5</v>
      </c>
      <c r="C12">
        <v>1.3140000000000001</v>
      </c>
      <c r="D12">
        <v>2.1139999999999999</v>
      </c>
      <c r="E12" s="1">
        <f t="shared" si="0"/>
        <v>60.882800608827992</v>
      </c>
      <c r="G12" s="4"/>
      <c r="I12">
        <v>6.6313829939712896</v>
      </c>
      <c r="J12">
        <v>14.081071109044</v>
      </c>
      <c r="K12">
        <v>1049.5062165581801</v>
      </c>
      <c r="L12">
        <v>729.15574398586</v>
      </c>
      <c r="M12">
        <f t="shared" si="1"/>
        <v>6.3999999999999986</v>
      </c>
      <c r="N12">
        <f t="shared" si="2"/>
        <v>14</v>
      </c>
      <c r="O12">
        <v>947.55605756739601</v>
      </c>
    </row>
    <row r="13" spans="1:16" x14ac:dyDescent="0.25">
      <c r="A13" t="s">
        <v>9</v>
      </c>
      <c r="B13" t="s">
        <v>3</v>
      </c>
      <c r="C13">
        <v>6105</v>
      </c>
      <c r="D13">
        <v>6129</v>
      </c>
      <c r="E13" s="1">
        <f t="shared" si="0"/>
        <v>0.3931203931203931</v>
      </c>
      <c r="G13" s="4"/>
      <c r="I13">
        <v>6.6313829939712896</v>
      </c>
      <c r="J13">
        <v>14.081071109044</v>
      </c>
      <c r="K13">
        <v>1049.5062165581801</v>
      </c>
      <c r="L13">
        <v>729.15574398586</v>
      </c>
      <c r="M13">
        <f t="shared" si="1"/>
        <v>6.1999999999999984</v>
      </c>
      <c r="N13">
        <f t="shared" si="2"/>
        <v>15</v>
      </c>
      <c r="O13">
        <v>858.17603833122996</v>
      </c>
    </row>
    <row r="14" spans="1:16" x14ac:dyDescent="0.25">
      <c r="B14" t="s">
        <v>4</v>
      </c>
      <c r="C14">
        <v>805.7</v>
      </c>
      <c r="D14">
        <v>744.6</v>
      </c>
      <c r="E14" s="1">
        <f t="shared" si="0"/>
        <v>-7.5834677919821294</v>
      </c>
      <c r="G14" s="4"/>
    </row>
    <row r="15" spans="1:16" x14ac:dyDescent="0.25">
      <c r="B15" t="s">
        <v>5</v>
      </c>
      <c r="C15">
        <v>5003</v>
      </c>
      <c r="D15">
        <v>4653</v>
      </c>
      <c r="E15" s="1">
        <f t="shared" si="0"/>
        <v>-6.9958025184889072</v>
      </c>
      <c r="G15" s="4"/>
      <c r="I15" s="6" t="s">
        <v>51</v>
      </c>
      <c r="J15" s="6"/>
      <c r="K15" s="6"/>
      <c r="L15" t="s">
        <v>51</v>
      </c>
      <c r="M15" s="6" t="s">
        <v>55</v>
      </c>
      <c r="N15" s="6"/>
      <c r="O15" s="6"/>
      <c r="P15" t="s">
        <v>56</v>
      </c>
    </row>
    <row r="16" spans="1:16" x14ac:dyDescent="0.25">
      <c r="A16" s="2"/>
      <c r="B16" s="2"/>
      <c r="C16" s="2"/>
      <c r="D16" s="2"/>
      <c r="E16" s="2"/>
      <c r="G16" s="4"/>
      <c r="I16" t="s">
        <v>22</v>
      </c>
      <c r="J16" t="s">
        <v>50</v>
      </c>
      <c r="K16" t="s">
        <v>54</v>
      </c>
      <c r="L16" t="s">
        <v>57</v>
      </c>
      <c r="M16" t="s">
        <v>22</v>
      </c>
      <c r="N16" t="s">
        <v>50</v>
      </c>
      <c r="O16" t="s">
        <v>54</v>
      </c>
      <c r="P16" t="s">
        <v>57</v>
      </c>
    </row>
    <row r="17" spans="1:16" x14ac:dyDescent="0.25">
      <c r="A17" t="s">
        <v>14</v>
      </c>
      <c r="G17" s="4"/>
      <c r="H17">
        <v>1862.27236438407</v>
      </c>
      <c r="I17">
        <v>0</v>
      </c>
      <c r="J17">
        <v>1.8624331919794099</v>
      </c>
      <c r="L17">
        <v>2.98045148218853</v>
      </c>
      <c r="M17">
        <v>0</v>
      </c>
      <c r="N17">
        <f>H17/1000</f>
        <v>1.86227236438407</v>
      </c>
      <c r="P17">
        <f>H23/1000</f>
        <v>2.9898143455716397</v>
      </c>
    </row>
    <row r="18" spans="1:16" x14ac:dyDescent="0.25">
      <c r="A18" t="s">
        <v>10</v>
      </c>
      <c r="B18" t="s">
        <v>11</v>
      </c>
      <c r="C18" t="s">
        <v>12</v>
      </c>
      <c r="E18" t="s">
        <v>17</v>
      </c>
      <c r="F18">
        <v>10259.1532001537</v>
      </c>
      <c r="G18" s="4"/>
      <c r="H18">
        <v>1840.7381895732101</v>
      </c>
      <c r="I18">
        <f>I17+1</f>
        <v>1</v>
      </c>
      <c r="J18">
        <v>1.83081284040067</v>
      </c>
      <c r="L18">
        <v>3.0158914531080598</v>
      </c>
      <c r="M18">
        <f>M17+1</f>
        <v>1</v>
      </c>
      <c r="N18">
        <f>H18/1000</f>
        <v>1.84073818957321</v>
      </c>
      <c r="P18">
        <f t="shared" ref="P18:P21" si="3">H24/1000</f>
        <v>3.0339714852694901</v>
      </c>
    </row>
    <row r="19" spans="1:16" x14ac:dyDescent="0.25">
      <c r="A19">
        <v>10</v>
      </c>
      <c r="B19">
        <v>211.45851253616499</v>
      </c>
      <c r="C19">
        <v>151.17344013171601</v>
      </c>
      <c r="E19" t="s">
        <v>16</v>
      </c>
      <c r="G19" s="4">
        <f>((F18-F20)/F18)*100</f>
        <v>29.759956941234179</v>
      </c>
      <c r="H19">
        <v>1782.3081104824701</v>
      </c>
      <c r="I19">
        <f t="shared" ref="I19:I20" si="4">I18+1</f>
        <v>2</v>
      </c>
      <c r="J19">
        <v>1.76602945629015</v>
      </c>
      <c r="L19">
        <v>3.0171263477779999</v>
      </c>
      <c r="M19">
        <f t="shared" ref="M19:M20" si="5">M18+1</f>
        <v>2</v>
      </c>
      <c r="N19">
        <f>H19/1000</f>
        <v>1.7823081104824701</v>
      </c>
      <c r="P19">
        <f t="shared" si="3"/>
        <v>3.0407952588386804</v>
      </c>
    </row>
    <row r="20" spans="1:16" x14ac:dyDescent="0.25">
      <c r="A20">
        <v>12</v>
      </c>
      <c r="B20">
        <v>252.02838855142801</v>
      </c>
      <c r="C20">
        <v>180.96477786729801</v>
      </c>
      <c r="E20" t="s">
        <v>18</v>
      </c>
      <c r="F20">
        <v>7206.0336252527104</v>
      </c>
      <c r="G20" s="4"/>
      <c r="H20">
        <v>1682.51894855007</v>
      </c>
      <c r="I20">
        <f t="shared" si="4"/>
        <v>3</v>
      </c>
      <c r="J20">
        <v>1.67770681633601</v>
      </c>
      <c r="L20">
        <v>2.9919051224573701</v>
      </c>
      <c r="M20">
        <f t="shared" si="5"/>
        <v>3</v>
      </c>
      <c r="N20">
        <f>H20/1000</f>
        <v>1.68251894855007</v>
      </c>
      <c r="P20">
        <f t="shared" si="3"/>
        <v>3.0027829270077602</v>
      </c>
    </row>
    <row r="21" spans="1:16" x14ac:dyDescent="0.25">
      <c r="A21" t="s">
        <v>13</v>
      </c>
      <c r="B21">
        <f>ABS((B19-B20)/B19)*100</f>
        <v>19.185737915528229</v>
      </c>
      <c r="C21">
        <f>ABS((C19-C20)/C19)*100</f>
        <v>19.706727391812404</v>
      </c>
      <c r="E21" t="s">
        <v>16</v>
      </c>
      <c r="G21" s="4"/>
      <c r="H21">
        <v>1551.1790169194401</v>
      </c>
      <c r="I21">
        <f>I20+1</f>
        <v>4</v>
      </c>
      <c r="J21">
        <v>1.5438997464828399</v>
      </c>
      <c r="L21">
        <v>2.9258676614480801</v>
      </c>
      <c r="M21">
        <f>M20+1</f>
        <v>4</v>
      </c>
      <c r="N21">
        <f>H21/1000</f>
        <v>1.5511790169194402</v>
      </c>
      <c r="P21">
        <f t="shared" si="3"/>
        <v>2.93814490852382</v>
      </c>
    </row>
    <row r="22" spans="1:16" x14ac:dyDescent="0.25">
      <c r="A22" t="s">
        <v>15</v>
      </c>
      <c r="B22">
        <v>428.67756477512501</v>
      </c>
      <c r="C22">
        <v>309.30145170981001</v>
      </c>
      <c r="G22" s="4"/>
      <c r="J22" t="s">
        <v>61</v>
      </c>
      <c r="K22" t="s">
        <v>60</v>
      </c>
      <c r="L22" t="s">
        <v>58</v>
      </c>
      <c r="M22" t="s">
        <v>61</v>
      </c>
      <c r="N22" t="s">
        <v>60</v>
      </c>
      <c r="P22" t="s">
        <v>59</v>
      </c>
    </row>
    <row r="23" spans="1:16" x14ac:dyDescent="0.25">
      <c r="G23" s="4"/>
      <c r="H23">
        <v>2989.8143455716399</v>
      </c>
      <c r="J23">
        <v>666.13449478096197</v>
      </c>
      <c r="K23">
        <v>714.78439429857497</v>
      </c>
      <c r="L23">
        <v>1380.9188890795399</v>
      </c>
      <c r="M23">
        <v>654.51337238045699</v>
      </c>
      <c r="N23">
        <v>730.85649058808701</v>
      </c>
      <c r="P23">
        <v>1385.36986296854</v>
      </c>
    </row>
    <row r="24" spans="1:16" x14ac:dyDescent="0.25">
      <c r="A24" t="s">
        <v>14</v>
      </c>
      <c r="G24" s="4"/>
      <c r="H24">
        <v>3033.9714852694901</v>
      </c>
      <c r="J24">
        <v>669.06609949875894</v>
      </c>
      <c r="K24">
        <v>706.87892997154904</v>
      </c>
      <c r="L24">
        <v>1375.9450294703099</v>
      </c>
      <c r="M24">
        <v>656.28564790461803</v>
      </c>
      <c r="N24">
        <v>723.68936476272404</v>
      </c>
      <c r="P24">
        <v>1379.97501266734</v>
      </c>
    </row>
    <row r="25" spans="1:16" x14ac:dyDescent="0.25">
      <c r="A25" t="s">
        <v>10</v>
      </c>
      <c r="B25" t="s">
        <v>19</v>
      </c>
      <c r="C25" t="s">
        <v>20</v>
      </c>
      <c r="G25" s="4"/>
      <c r="H25">
        <v>3040.7952588386802</v>
      </c>
      <c r="J25">
        <v>673.61970742711799</v>
      </c>
      <c r="K25">
        <v>699.96176950438098</v>
      </c>
      <c r="L25">
        <v>1373.5814769315</v>
      </c>
      <c r="M25">
        <v>660.42925981631004</v>
      </c>
      <c r="N25">
        <v>715.94715724067396</v>
      </c>
      <c r="P25">
        <v>1376.37641705698</v>
      </c>
    </row>
    <row r="26" spans="1:16" x14ac:dyDescent="0.25">
      <c r="A26">
        <v>10</v>
      </c>
      <c r="B26">
        <v>1101.45690994547</v>
      </c>
      <c r="C26">
        <v>1008.39185114427</v>
      </c>
      <c r="G26" s="4"/>
      <c r="H26">
        <v>3002.78292700776</v>
      </c>
      <c r="J26">
        <v>680.81802901444098</v>
      </c>
      <c r="K26">
        <v>692.47650681021901</v>
      </c>
      <c r="L26">
        <v>1373.29453582466</v>
      </c>
      <c r="M26">
        <v>667.43248551880095</v>
      </c>
      <c r="N26">
        <v>708.12116433724395</v>
      </c>
      <c r="P26">
        <v>1375.55364985605</v>
      </c>
    </row>
    <row r="27" spans="1:16" x14ac:dyDescent="0.25">
      <c r="A27">
        <v>12</v>
      </c>
      <c r="B27">
        <v>1212.63130687333</v>
      </c>
      <c r="C27">
        <v>1100.2363492383899</v>
      </c>
      <c r="G27" s="4"/>
      <c r="H27">
        <v>2938.14490852382</v>
      </c>
      <c r="J27">
        <v>691.91398352151498</v>
      </c>
      <c r="K27">
        <v>687.50415411792596</v>
      </c>
      <c r="L27">
        <v>1379.4181376394399</v>
      </c>
      <c r="M27">
        <v>672.87938661256101</v>
      </c>
      <c r="N27">
        <v>699.24664036514105</v>
      </c>
      <c r="P27">
        <v>1372.1260269776999</v>
      </c>
    </row>
    <row r="28" spans="1:16" x14ac:dyDescent="0.25">
      <c r="A28" t="s">
        <v>13</v>
      </c>
      <c r="B28">
        <f>ABS((B26-B27)/B26)*100</f>
        <v>10.093395022903252</v>
      </c>
      <c r="C28">
        <f>ABS((C26-C27)/C26)*100</f>
        <v>9.108016689137223</v>
      </c>
      <c r="G28" s="4"/>
    </row>
    <row r="29" spans="1:16" x14ac:dyDescent="0.25">
      <c r="A29" t="s">
        <v>15</v>
      </c>
      <c r="B29">
        <v>1745.1161956963499</v>
      </c>
      <c r="C29">
        <v>1587.9480298286801</v>
      </c>
      <c r="G29" s="4"/>
    </row>
    <row r="30" spans="1:16" x14ac:dyDescent="0.25">
      <c r="G30" s="4"/>
      <c r="H30" s="7" t="s">
        <v>62</v>
      </c>
      <c r="I30" s="6"/>
      <c r="J30" s="6"/>
      <c r="K30" s="5">
        <v>11386.5521436611</v>
      </c>
      <c r="L30" t="s">
        <v>64</v>
      </c>
    </row>
    <row r="31" spans="1:16" x14ac:dyDescent="0.25">
      <c r="G31" s="4"/>
      <c r="H31" t="s">
        <v>63</v>
      </c>
      <c r="K31">
        <v>11526.326108573399</v>
      </c>
      <c r="L31" t="s">
        <v>64</v>
      </c>
    </row>
    <row r="32" spans="1:16" x14ac:dyDescent="0.25">
      <c r="G32" s="4"/>
    </row>
    <row r="33" spans="7:7" x14ac:dyDescent="0.25">
      <c r="G33" s="4"/>
    </row>
    <row r="34" spans="7:7" x14ac:dyDescent="0.25">
      <c r="G34" s="4"/>
    </row>
    <row r="35" spans="7:7" x14ac:dyDescent="0.25">
      <c r="G35" s="4"/>
    </row>
  </sheetData>
  <mergeCells count="5">
    <mergeCell ref="I2:K2"/>
    <mergeCell ref="M2:O2"/>
    <mergeCell ref="I15:K15"/>
    <mergeCell ref="M15:O15"/>
    <mergeCell ref="H30:J30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8FA44-2D6E-4572-8B81-24384F7E9363}">
  <dimension ref="B5:D26"/>
  <sheetViews>
    <sheetView workbookViewId="0">
      <selection activeCell="V13" sqref="V13"/>
    </sheetView>
  </sheetViews>
  <sheetFormatPr defaultRowHeight="14.15" x14ac:dyDescent="0.25"/>
  <sheetData>
    <row r="5" spans="2:4" x14ac:dyDescent="0.25">
      <c r="B5" t="s">
        <v>21</v>
      </c>
      <c r="C5" t="s">
        <v>2</v>
      </c>
      <c r="D5" t="s">
        <v>7</v>
      </c>
    </row>
    <row r="6" spans="2:4" x14ac:dyDescent="0.25">
      <c r="B6">
        <v>0</v>
      </c>
      <c r="C6">
        <f>4*B6*((1-B6)^2)</f>
        <v>0</v>
      </c>
      <c r="D6">
        <f>4*B6*(1-B6)</f>
        <v>0</v>
      </c>
    </row>
    <row r="7" spans="2:4" x14ac:dyDescent="0.25">
      <c r="B7">
        <f>B6+0.05</f>
        <v>0.05</v>
      </c>
      <c r="C7">
        <f t="shared" ref="C7:C26" si="0">4*B7*((1-B7)^2)</f>
        <v>0.18049999999999999</v>
      </c>
      <c r="D7">
        <f t="shared" ref="D7:D26" si="1">4*B7*(1-B7)</f>
        <v>0.19</v>
      </c>
    </row>
    <row r="8" spans="2:4" x14ac:dyDescent="0.25">
      <c r="B8">
        <f t="shared" ref="B8:B26" si="2">B7+0.05</f>
        <v>0.1</v>
      </c>
      <c r="C8">
        <f t="shared" si="0"/>
        <v>0.32400000000000007</v>
      </c>
      <c r="D8">
        <f t="shared" si="1"/>
        <v>0.36000000000000004</v>
      </c>
    </row>
    <row r="9" spans="2:4" x14ac:dyDescent="0.25">
      <c r="B9">
        <f t="shared" si="2"/>
        <v>0.15000000000000002</v>
      </c>
      <c r="C9">
        <f t="shared" si="0"/>
        <v>0.4335</v>
      </c>
      <c r="D9">
        <f t="shared" si="1"/>
        <v>0.51</v>
      </c>
    </row>
    <row r="10" spans="2:4" x14ac:dyDescent="0.25">
      <c r="B10">
        <f t="shared" si="2"/>
        <v>0.2</v>
      </c>
      <c r="C10">
        <f t="shared" si="0"/>
        <v>0.51200000000000012</v>
      </c>
      <c r="D10">
        <f t="shared" si="1"/>
        <v>0.64000000000000012</v>
      </c>
    </row>
    <row r="11" spans="2:4" x14ac:dyDescent="0.25">
      <c r="B11">
        <f t="shared" si="2"/>
        <v>0.25</v>
      </c>
      <c r="C11">
        <f t="shared" si="0"/>
        <v>0.5625</v>
      </c>
      <c r="D11">
        <f t="shared" si="1"/>
        <v>0.75</v>
      </c>
    </row>
    <row r="12" spans="2:4" x14ac:dyDescent="0.25">
      <c r="B12">
        <f t="shared" si="2"/>
        <v>0.3</v>
      </c>
      <c r="C12">
        <f t="shared" si="0"/>
        <v>0.58799999999999986</v>
      </c>
      <c r="D12">
        <f t="shared" si="1"/>
        <v>0.84</v>
      </c>
    </row>
    <row r="13" spans="2:4" x14ac:dyDescent="0.25">
      <c r="B13">
        <f t="shared" si="2"/>
        <v>0.35</v>
      </c>
      <c r="C13">
        <f t="shared" si="0"/>
        <v>0.59150000000000003</v>
      </c>
      <c r="D13">
        <f t="shared" si="1"/>
        <v>0.90999999999999992</v>
      </c>
    </row>
    <row r="14" spans="2:4" x14ac:dyDescent="0.25">
      <c r="B14">
        <f t="shared" si="2"/>
        <v>0.39999999999999997</v>
      </c>
      <c r="C14">
        <f t="shared" si="0"/>
        <v>0.57600000000000007</v>
      </c>
      <c r="D14">
        <f t="shared" si="1"/>
        <v>0.96000000000000008</v>
      </c>
    </row>
    <row r="15" spans="2:4" x14ac:dyDescent="0.25">
      <c r="B15">
        <f t="shared" si="2"/>
        <v>0.44999999999999996</v>
      </c>
      <c r="C15">
        <f t="shared" si="0"/>
        <v>0.54449999999999998</v>
      </c>
      <c r="D15">
        <f t="shared" si="1"/>
        <v>0.99</v>
      </c>
    </row>
    <row r="16" spans="2:4" x14ac:dyDescent="0.25">
      <c r="B16">
        <f t="shared" si="2"/>
        <v>0.49999999999999994</v>
      </c>
      <c r="C16">
        <f t="shared" si="0"/>
        <v>0.49999999999999994</v>
      </c>
      <c r="D16">
        <f t="shared" si="1"/>
        <v>0.99999999999999989</v>
      </c>
    </row>
    <row r="17" spans="2:4" x14ac:dyDescent="0.25">
      <c r="B17">
        <f t="shared" si="2"/>
        <v>0.54999999999999993</v>
      </c>
      <c r="C17">
        <f t="shared" si="0"/>
        <v>0.44550000000000012</v>
      </c>
      <c r="D17">
        <f t="shared" si="1"/>
        <v>0.99</v>
      </c>
    </row>
    <row r="18" spans="2:4" x14ac:dyDescent="0.25">
      <c r="B18">
        <f t="shared" si="2"/>
        <v>0.6</v>
      </c>
      <c r="C18">
        <f t="shared" si="0"/>
        <v>0.38400000000000006</v>
      </c>
      <c r="D18">
        <f t="shared" si="1"/>
        <v>0.96</v>
      </c>
    </row>
    <row r="19" spans="2:4" x14ac:dyDescent="0.25">
      <c r="B19">
        <f t="shared" si="2"/>
        <v>0.65</v>
      </c>
      <c r="C19">
        <f t="shared" si="0"/>
        <v>0.31849999999999995</v>
      </c>
      <c r="D19">
        <f t="shared" si="1"/>
        <v>0.90999999999999992</v>
      </c>
    </row>
    <row r="20" spans="2:4" x14ac:dyDescent="0.25">
      <c r="B20">
        <f t="shared" si="2"/>
        <v>0.70000000000000007</v>
      </c>
      <c r="C20">
        <f t="shared" si="0"/>
        <v>0.25199999999999989</v>
      </c>
      <c r="D20">
        <f t="shared" si="1"/>
        <v>0.83999999999999986</v>
      </c>
    </row>
    <row r="21" spans="2:4" x14ac:dyDescent="0.25">
      <c r="B21">
        <f t="shared" si="2"/>
        <v>0.75000000000000011</v>
      </c>
      <c r="C21">
        <f t="shared" si="0"/>
        <v>0.18749999999999986</v>
      </c>
      <c r="D21">
        <f t="shared" si="1"/>
        <v>0.74999999999999978</v>
      </c>
    </row>
    <row r="22" spans="2:4" x14ac:dyDescent="0.25">
      <c r="B22">
        <f t="shared" si="2"/>
        <v>0.80000000000000016</v>
      </c>
      <c r="C22">
        <f t="shared" si="0"/>
        <v>0.12799999999999984</v>
      </c>
      <c r="D22">
        <f t="shared" si="1"/>
        <v>0.63999999999999968</v>
      </c>
    </row>
    <row r="23" spans="2:4" x14ac:dyDescent="0.25">
      <c r="B23">
        <f t="shared" si="2"/>
        <v>0.8500000000000002</v>
      </c>
      <c r="C23">
        <f t="shared" si="0"/>
        <v>7.6499999999999818E-2</v>
      </c>
      <c r="D23">
        <f t="shared" si="1"/>
        <v>0.50999999999999945</v>
      </c>
    </row>
    <row r="24" spans="2:4" x14ac:dyDescent="0.25">
      <c r="B24">
        <f>B23+0.05</f>
        <v>0.90000000000000024</v>
      </c>
      <c r="C24">
        <f t="shared" si="0"/>
        <v>3.5999999999999838E-2</v>
      </c>
      <c r="D24">
        <f t="shared" si="1"/>
        <v>0.35999999999999921</v>
      </c>
    </row>
    <row r="25" spans="2:4" x14ac:dyDescent="0.25">
      <c r="B25">
        <f t="shared" si="2"/>
        <v>0.95000000000000029</v>
      </c>
      <c r="C25">
        <f t="shared" si="0"/>
        <v>9.4999999999998922E-3</v>
      </c>
      <c r="D25">
        <f t="shared" si="1"/>
        <v>0.18999999999999895</v>
      </c>
    </row>
    <row r="26" spans="2:4" x14ac:dyDescent="0.25">
      <c r="B26">
        <f t="shared" si="2"/>
        <v>1.0000000000000002</v>
      </c>
      <c r="C26">
        <f t="shared" si="0"/>
        <v>1.97215226305253E-31</v>
      </c>
      <c r="D26">
        <f t="shared" si="1"/>
        <v>-8.8817841970012543E-16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5D761-B97A-44D4-B52B-D91498842DFD}">
  <dimension ref="B2:F34"/>
  <sheetViews>
    <sheetView workbookViewId="0">
      <selection activeCell="H34" sqref="H34"/>
    </sheetView>
  </sheetViews>
  <sheetFormatPr defaultRowHeight="14.15" x14ac:dyDescent="0.25"/>
  <sheetData>
    <row r="2" spans="2:6" x14ac:dyDescent="0.25">
      <c r="B2" s="6" t="s">
        <v>26</v>
      </c>
      <c r="C2" s="6"/>
      <c r="D2" s="6"/>
      <c r="E2" s="6"/>
    </row>
    <row r="3" spans="2:6" x14ac:dyDescent="0.25">
      <c r="B3" s="6" t="s">
        <v>23</v>
      </c>
      <c r="C3" s="6"/>
      <c r="D3" s="6" t="s">
        <v>24</v>
      </c>
      <c r="E3" s="6"/>
    </row>
    <row r="4" spans="2:6" x14ac:dyDescent="0.25">
      <c r="B4" t="s">
        <v>22</v>
      </c>
      <c r="C4" t="s">
        <v>8</v>
      </c>
      <c r="D4" t="s">
        <v>22</v>
      </c>
      <c r="E4" t="s">
        <v>8</v>
      </c>
    </row>
    <row r="5" spans="2:6" x14ac:dyDescent="0.25">
      <c r="B5">
        <v>-2.3E-2</v>
      </c>
      <c r="C5">
        <v>8.5220000000000002</v>
      </c>
      <c r="D5">
        <v>2.3E-2</v>
      </c>
      <c r="E5">
        <v>6.9870000000000001</v>
      </c>
    </row>
    <row r="6" spans="2:6" x14ac:dyDescent="0.25">
      <c r="B6">
        <v>0.99099999999999999</v>
      </c>
      <c r="C6">
        <v>8.43</v>
      </c>
      <c r="D6">
        <v>1.036</v>
      </c>
      <c r="E6">
        <v>7.0179999999999998</v>
      </c>
    </row>
    <row r="7" spans="2:6" x14ac:dyDescent="0.25">
      <c r="B7">
        <v>2.0270000000000001</v>
      </c>
      <c r="C7">
        <v>8.2710000000000008</v>
      </c>
      <c r="D7">
        <v>2.0270000000000001</v>
      </c>
      <c r="E7">
        <v>7.0780000000000003</v>
      </c>
    </row>
    <row r="8" spans="2:6" x14ac:dyDescent="0.25">
      <c r="B8">
        <v>4.077</v>
      </c>
      <c r="C8">
        <v>7.8150000000000004</v>
      </c>
      <c r="D8">
        <v>4.0540000000000003</v>
      </c>
      <c r="E8">
        <v>7.2</v>
      </c>
    </row>
    <row r="9" spans="2:6" x14ac:dyDescent="0.25">
      <c r="B9">
        <v>6.0359999999999996</v>
      </c>
      <c r="C9">
        <v>7.3140000000000001</v>
      </c>
      <c r="D9">
        <v>6.0590000000000002</v>
      </c>
      <c r="E9">
        <v>7.359</v>
      </c>
    </row>
    <row r="10" spans="2:6" x14ac:dyDescent="0.25">
      <c r="B10" s="6" t="s">
        <v>23</v>
      </c>
      <c r="C10" s="6"/>
      <c r="D10" s="6" t="s">
        <v>24</v>
      </c>
      <c r="E10" s="6"/>
      <c r="F10" s="6" t="s">
        <v>28</v>
      </c>
    </row>
    <row r="11" spans="2:6" x14ac:dyDescent="0.25">
      <c r="B11" t="s">
        <v>22</v>
      </c>
      <c r="C11" t="s">
        <v>25</v>
      </c>
      <c r="D11" t="s">
        <v>22</v>
      </c>
      <c r="E11" t="s">
        <v>25</v>
      </c>
      <c r="F11" s="6"/>
    </row>
    <row r="12" spans="2:6" x14ac:dyDescent="0.25">
      <c r="B12">
        <v>-6.8000000000000005E-2</v>
      </c>
      <c r="C12">
        <v>1.7769999999999999</v>
      </c>
      <c r="D12">
        <v>-2.3E-2</v>
      </c>
      <c r="E12">
        <v>0.82799999999999996</v>
      </c>
      <c r="F12">
        <f>C12+E12</f>
        <v>2.605</v>
      </c>
    </row>
    <row r="13" spans="2:6" x14ac:dyDescent="0.25">
      <c r="B13">
        <v>0.99099999999999999</v>
      </c>
      <c r="C13">
        <v>1.724</v>
      </c>
      <c r="D13">
        <v>0.99099999999999999</v>
      </c>
      <c r="E13">
        <v>0.84299999999999997</v>
      </c>
      <c r="F13">
        <f>C13+E13</f>
        <v>2.5670000000000002</v>
      </c>
    </row>
    <row r="14" spans="2:6" x14ac:dyDescent="0.25">
      <c r="B14">
        <v>1.982</v>
      </c>
      <c r="C14">
        <v>1.625</v>
      </c>
      <c r="D14">
        <v>1.982</v>
      </c>
      <c r="E14">
        <v>0.88900000000000001</v>
      </c>
      <c r="F14">
        <f>C14+E14</f>
        <v>2.5140000000000002</v>
      </c>
    </row>
    <row r="15" spans="2:6" x14ac:dyDescent="0.25">
      <c r="B15">
        <v>4.0090000000000003</v>
      </c>
      <c r="C15">
        <v>1.359</v>
      </c>
      <c r="D15">
        <v>4.0090000000000003</v>
      </c>
      <c r="E15">
        <v>0.98</v>
      </c>
      <c r="F15">
        <f>C15+E15</f>
        <v>2.339</v>
      </c>
    </row>
    <row r="16" spans="2:6" x14ac:dyDescent="0.25">
      <c r="B16">
        <v>6.0140000000000002</v>
      </c>
      <c r="C16">
        <v>1.0629999999999999</v>
      </c>
      <c r="D16">
        <v>6.0140000000000002</v>
      </c>
      <c r="E16">
        <v>1.101</v>
      </c>
      <c r="F16">
        <f>C16+E16</f>
        <v>2.1639999999999997</v>
      </c>
    </row>
    <row r="20" spans="2:6" x14ac:dyDescent="0.25">
      <c r="B20" s="6" t="s">
        <v>27</v>
      </c>
      <c r="C20" s="6"/>
      <c r="D20" s="6"/>
      <c r="E20" s="6"/>
    </row>
    <row r="21" spans="2:6" x14ac:dyDescent="0.25">
      <c r="B21" s="6" t="s">
        <v>23</v>
      </c>
      <c r="C21" s="6"/>
      <c r="D21" s="6" t="s">
        <v>24</v>
      </c>
      <c r="E21" s="6"/>
    </row>
    <row r="22" spans="2:6" x14ac:dyDescent="0.25">
      <c r="B22" t="s">
        <v>22</v>
      </c>
      <c r="C22" t="s">
        <v>8</v>
      </c>
      <c r="D22" t="s">
        <v>22</v>
      </c>
      <c r="E22" t="s">
        <v>8</v>
      </c>
    </row>
    <row r="23" spans="2:6" x14ac:dyDescent="0.25">
      <c r="B23">
        <v>0</v>
      </c>
      <c r="C23">
        <v>7.6917153927817496</v>
      </c>
      <c r="D23">
        <v>0</v>
      </c>
      <c r="E23">
        <v>8.5031802148166307</v>
      </c>
    </row>
    <row r="24" spans="2:6" x14ac:dyDescent="0.25">
      <c r="B24">
        <v>1</v>
      </c>
      <c r="C24">
        <v>7.6922699245458404</v>
      </c>
      <c r="D24">
        <v>1</v>
      </c>
      <c r="E24">
        <v>8.3932143198203306</v>
      </c>
    </row>
    <row r="25" spans="2:6" x14ac:dyDescent="0.25">
      <c r="B25">
        <v>2</v>
      </c>
      <c r="C25">
        <v>7.6926770081712297</v>
      </c>
      <c r="D25">
        <v>2</v>
      </c>
      <c r="E25">
        <v>8.2919999382232294</v>
      </c>
    </row>
    <row r="26" spans="2:6" x14ac:dyDescent="0.25">
      <c r="B26">
        <v>3</v>
      </c>
      <c r="C26">
        <v>7.6929338414266004</v>
      </c>
      <c r="D26">
        <v>3</v>
      </c>
      <c r="E26">
        <v>8.2003976650590999</v>
      </c>
    </row>
    <row r="27" spans="2:6" x14ac:dyDescent="0.25">
      <c r="B27">
        <v>4</v>
      </c>
      <c r="C27">
        <v>7.69296382373438</v>
      </c>
      <c r="D27">
        <v>4</v>
      </c>
      <c r="E27">
        <v>8.1098224538620194</v>
      </c>
    </row>
    <row r="28" spans="2:6" x14ac:dyDescent="0.25">
      <c r="B28" s="6" t="s">
        <v>23</v>
      </c>
      <c r="C28" s="6"/>
      <c r="D28" s="6" t="s">
        <v>24</v>
      </c>
      <c r="E28" s="6"/>
      <c r="F28" s="6" t="s">
        <v>28</v>
      </c>
    </row>
    <row r="29" spans="2:6" x14ac:dyDescent="0.25">
      <c r="B29" t="s">
        <v>22</v>
      </c>
      <c r="C29" t="s">
        <v>25</v>
      </c>
      <c r="D29" t="s">
        <v>22</v>
      </c>
      <c r="E29" t="s">
        <v>25</v>
      </c>
      <c r="F29" s="6"/>
    </row>
    <row r="30" spans="2:6" x14ac:dyDescent="0.25">
      <c r="B30">
        <v>0</v>
      </c>
      <c r="C30">
        <v>1.8624331919794099</v>
      </c>
      <c r="D30">
        <v>0</v>
      </c>
      <c r="E30">
        <v>1.11801829020912</v>
      </c>
      <c r="F30">
        <f>E30+C30</f>
        <v>2.98045148218853</v>
      </c>
    </row>
    <row r="31" spans="2:6" x14ac:dyDescent="0.25">
      <c r="B31">
        <v>1</v>
      </c>
      <c r="C31">
        <v>1.83081284040067</v>
      </c>
      <c r="D31">
        <v>1</v>
      </c>
      <c r="E31">
        <v>1.18507861270739</v>
      </c>
      <c r="F31">
        <f>E31+C31</f>
        <v>3.0158914531080603</v>
      </c>
    </row>
    <row r="32" spans="2:6" x14ac:dyDescent="0.25">
      <c r="B32">
        <v>2</v>
      </c>
      <c r="C32">
        <v>1.76602945629015</v>
      </c>
      <c r="D32">
        <v>2</v>
      </c>
      <c r="E32">
        <v>1.25109689148784</v>
      </c>
      <c r="F32">
        <f>E32+C32</f>
        <v>3.0171263477779897</v>
      </c>
    </row>
    <row r="33" spans="2:6" x14ac:dyDescent="0.25">
      <c r="B33">
        <v>3</v>
      </c>
      <c r="C33">
        <v>1.67770681633601</v>
      </c>
      <c r="D33">
        <v>3</v>
      </c>
      <c r="E33">
        <v>1.31419830612135</v>
      </c>
      <c r="F33">
        <f>E33+C33</f>
        <v>2.9919051224573598</v>
      </c>
    </row>
    <row r="34" spans="2:6" x14ac:dyDescent="0.25">
      <c r="B34">
        <v>4</v>
      </c>
      <c r="C34">
        <v>1.5438997464828399</v>
      </c>
      <c r="D34">
        <v>4</v>
      </c>
      <c r="E34">
        <v>1.38196791496524</v>
      </c>
      <c r="F34">
        <f>E34+C34</f>
        <v>2.9258676614480796</v>
      </c>
    </row>
  </sheetData>
  <mergeCells count="12">
    <mergeCell ref="F28:F29"/>
    <mergeCell ref="F10:F11"/>
    <mergeCell ref="B2:E2"/>
    <mergeCell ref="B20:E20"/>
    <mergeCell ref="B21:C21"/>
    <mergeCell ref="D21:E21"/>
    <mergeCell ref="B28:C28"/>
    <mergeCell ref="D28:E28"/>
    <mergeCell ref="B3:C3"/>
    <mergeCell ref="D3:E3"/>
    <mergeCell ref="B10:C10"/>
    <mergeCell ref="D10:E1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39CC-BC38-44E3-8E08-89E4685D5CB7}">
  <dimension ref="B1:R18"/>
  <sheetViews>
    <sheetView topLeftCell="A10" workbookViewId="0">
      <selection activeCell="M15" sqref="M15"/>
    </sheetView>
  </sheetViews>
  <sheetFormatPr defaultRowHeight="14.15" x14ac:dyDescent="0.25"/>
  <sheetData>
    <row r="1" spans="2:18" x14ac:dyDescent="0.25">
      <c r="E1" s="6" t="s">
        <v>27</v>
      </c>
      <c r="F1" s="6"/>
      <c r="G1" s="6"/>
      <c r="H1" s="6"/>
    </row>
    <row r="2" spans="2:18" x14ac:dyDescent="0.25">
      <c r="C2" s="6" t="s">
        <v>31</v>
      </c>
      <c r="D2" s="6"/>
      <c r="E2" s="6" t="s">
        <v>32</v>
      </c>
      <c r="F2" s="6"/>
      <c r="G2" s="6" t="s">
        <v>33</v>
      </c>
      <c r="H2" s="6"/>
      <c r="I2" s="3"/>
      <c r="J2" s="6" t="s">
        <v>31</v>
      </c>
      <c r="K2" s="6"/>
      <c r="L2" s="6" t="s">
        <v>27</v>
      </c>
      <c r="M2" s="6"/>
      <c r="O2" s="6" t="s">
        <v>31</v>
      </c>
      <c r="P2" s="6"/>
      <c r="Q2" s="6" t="s">
        <v>27</v>
      </c>
      <c r="R2" s="6"/>
    </row>
    <row r="3" spans="2:18" x14ac:dyDescent="0.25">
      <c r="B3" t="s">
        <v>29</v>
      </c>
      <c r="C3" t="s">
        <v>30</v>
      </c>
      <c r="D3" t="s">
        <v>10</v>
      </c>
      <c r="E3" t="s">
        <v>30</v>
      </c>
      <c r="F3" t="s">
        <v>10</v>
      </c>
      <c r="G3" t="s">
        <v>30</v>
      </c>
      <c r="H3" t="s">
        <v>10</v>
      </c>
      <c r="I3" s="3" t="s">
        <v>29</v>
      </c>
      <c r="J3" t="s">
        <v>32</v>
      </c>
      <c r="K3" t="s">
        <v>35</v>
      </c>
      <c r="L3" t="s">
        <v>32</v>
      </c>
      <c r="M3" t="s">
        <v>35</v>
      </c>
      <c r="N3" t="s">
        <v>29</v>
      </c>
      <c r="O3" t="s">
        <v>32</v>
      </c>
      <c r="P3" t="s">
        <v>35</v>
      </c>
      <c r="Q3" t="s">
        <v>32</v>
      </c>
      <c r="R3" t="s">
        <v>35</v>
      </c>
    </row>
    <row r="4" spans="2:18" x14ac:dyDescent="0.25">
      <c r="B4">
        <v>1</v>
      </c>
      <c r="C4">
        <v>0.61399999999999999</v>
      </c>
      <c r="D4">
        <v>0.09</v>
      </c>
      <c r="E4">
        <v>7.0679999999999996</v>
      </c>
      <c r="F4">
        <v>9</v>
      </c>
      <c r="G4">
        <v>7.0679999999999996</v>
      </c>
      <c r="H4">
        <v>9</v>
      </c>
      <c r="I4" s="3">
        <v>1</v>
      </c>
      <c r="J4">
        <v>0.442</v>
      </c>
      <c r="K4">
        <v>0.38200000000000001</v>
      </c>
      <c r="L4">
        <v>0.23220669765902299</v>
      </c>
      <c r="M4">
        <v>0.25681121553285102</v>
      </c>
      <c r="N4">
        <v>1</v>
      </c>
      <c r="O4">
        <f t="shared" ref="O4:P8" si="0">J4/$J$4</f>
        <v>1</v>
      </c>
      <c r="P4">
        <f t="shared" si="0"/>
        <v>0.86425339366515841</v>
      </c>
      <c r="Q4">
        <f>M4/$M$4</f>
        <v>1</v>
      </c>
      <c r="R4">
        <f>L4/$M$4</f>
        <v>0.90419219883844737</v>
      </c>
    </row>
    <row r="5" spans="2:18" x14ac:dyDescent="0.25">
      <c r="B5">
        <v>2</v>
      </c>
      <c r="C5">
        <v>0.44</v>
      </c>
      <c r="D5">
        <v>0.218</v>
      </c>
      <c r="E5">
        <v>4.2923136205974499</v>
      </c>
      <c r="F5">
        <v>19.804013368787601</v>
      </c>
      <c r="G5">
        <v>5.1826953629563599</v>
      </c>
      <c r="H5">
        <v>15.6343160661142</v>
      </c>
      <c r="I5" s="3">
        <v>2</v>
      </c>
      <c r="J5">
        <v>0.153</v>
      </c>
      <c r="K5">
        <v>0.217</v>
      </c>
      <c r="L5">
        <v>9.4189580202176201E-2</v>
      </c>
      <c r="M5">
        <v>4.7626307808856801E-2</v>
      </c>
      <c r="N5">
        <v>2</v>
      </c>
      <c r="O5">
        <f t="shared" si="0"/>
        <v>0.34615384615384615</v>
      </c>
      <c r="P5">
        <f t="shared" si="0"/>
        <v>0.49095022624434387</v>
      </c>
      <c r="Q5">
        <f>M5/$M$4</f>
        <v>0.18545260069751313</v>
      </c>
      <c r="R5">
        <f>L5/$M$4</f>
        <v>0.36676583616780384</v>
      </c>
    </row>
    <row r="6" spans="2:18" x14ac:dyDescent="0.25">
      <c r="B6">
        <v>3</v>
      </c>
      <c r="C6">
        <v>0.49199999999999999</v>
      </c>
      <c r="D6">
        <v>0.24399999999999999</v>
      </c>
      <c r="E6">
        <v>2.9143061735212701</v>
      </c>
      <c r="F6">
        <v>26.3395478209634</v>
      </c>
      <c r="G6">
        <v>3.5870978646521801</v>
      </c>
      <c r="H6">
        <v>23.185892354048701</v>
      </c>
      <c r="I6" s="3">
        <v>3</v>
      </c>
      <c r="J6">
        <v>0.219</v>
      </c>
      <c r="K6">
        <v>0.247</v>
      </c>
      <c r="L6">
        <v>2.16160060380481E-2</v>
      </c>
      <c r="M6">
        <v>0</v>
      </c>
      <c r="N6">
        <v>3</v>
      </c>
      <c r="O6">
        <f t="shared" si="0"/>
        <v>0.49547511312217196</v>
      </c>
      <c r="P6">
        <f t="shared" si="0"/>
        <v>0.55882352941176472</v>
      </c>
      <c r="Q6">
        <f>M6/$M$4</f>
        <v>0</v>
      </c>
      <c r="R6">
        <f>L6/$M$4</f>
        <v>8.4170802249417351E-2</v>
      </c>
    </row>
    <row r="7" spans="2:18" x14ac:dyDescent="0.25">
      <c r="B7">
        <v>4</v>
      </c>
      <c r="C7">
        <v>0.48299999999999998</v>
      </c>
      <c r="D7">
        <v>0.26100000000000001</v>
      </c>
      <c r="E7">
        <v>4.2003759298667998</v>
      </c>
      <c r="F7">
        <v>20.897399589539699</v>
      </c>
      <c r="G7">
        <v>2.4712258064516099</v>
      </c>
      <c r="H7">
        <v>28.149166154248299</v>
      </c>
      <c r="I7" s="3">
        <v>4</v>
      </c>
      <c r="J7">
        <v>0.20799999999999999</v>
      </c>
      <c r="K7">
        <v>0.23899999999999999</v>
      </c>
      <c r="L7">
        <v>0</v>
      </c>
      <c r="M7">
        <v>1.44031535523063E-2</v>
      </c>
      <c r="N7">
        <v>4</v>
      </c>
      <c r="O7">
        <f t="shared" si="0"/>
        <v>0.47058823529411764</v>
      </c>
      <c r="P7">
        <f t="shared" si="0"/>
        <v>0.54072398190045246</v>
      </c>
      <c r="Q7">
        <f>M7/$M$4</f>
        <v>5.6084597093711677E-2</v>
      </c>
      <c r="R7">
        <f>L7/$M$4</f>
        <v>0</v>
      </c>
    </row>
    <row r="8" spans="2:18" x14ac:dyDescent="0.25">
      <c r="B8">
        <v>5</v>
      </c>
      <c r="C8">
        <v>0.48199999999999998</v>
      </c>
      <c r="D8">
        <v>0.26700000000000002</v>
      </c>
      <c r="E8">
        <v>3.2610686824355199</v>
      </c>
      <c r="F8">
        <v>24.517620343365099</v>
      </c>
      <c r="G8">
        <v>2.5531526677612</v>
      </c>
      <c r="H8">
        <v>27.783270844087301</v>
      </c>
      <c r="I8" s="3">
        <v>5</v>
      </c>
      <c r="J8">
        <v>0.20499999999999999</v>
      </c>
      <c r="K8">
        <v>0.22900000000000001</v>
      </c>
      <c r="L8">
        <v>0</v>
      </c>
      <c r="M8">
        <v>4.3765115641145901E-2</v>
      </c>
      <c r="N8">
        <v>5</v>
      </c>
      <c r="O8">
        <f t="shared" si="0"/>
        <v>0.46380090497737553</v>
      </c>
      <c r="P8">
        <f t="shared" si="0"/>
        <v>0.51809954751131226</v>
      </c>
      <c r="Q8">
        <f>M8/$M$4</f>
        <v>0.17041746229945129</v>
      </c>
      <c r="R8">
        <f>L8/$M$4</f>
        <v>0</v>
      </c>
    </row>
    <row r="10" spans="2:18" x14ac:dyDescent="0.25">
      <c r="B10" s="6" t="s">
        <v>34</v>
      </c>
      <c r="C10" s="6"/>
      <c r="D10" s="6"/>
      <c r="E10" s="6"/>
      <c r="F10" s="6"/>
      <c r="G10" s="6"/>
      <c r="H10" s="6"/>
    </row>
    <row r="11" spans="2:18" x14ac:dyDescent="0.25">
      <c r="E11" s="6" t="s">
        <v>27</v>
      </c>
      <c r="F11" s="6"/>
      <c r="G11" s="6"/>
      <c r="H11" s="6"/>
    </row>
    <row r="12" spans="2:18" x14ac:dyDescent="0.25">
      <c r="C12" s="6" t="s">
        <v>31</v>
      </c>
      <c r="D12" s="6"/>
      <c r="E12" s="6" t="s">
        <v>32</v>
      </c>
      <c r="F12" s="6"/>
      <c r="G12" s="6" t="s">
        <v>33</v>
      </c>
      <c r="H12" s="6"/>
    </row>
    <row r="13" spans="2:18" x14ac:dyDescent="0.25">
      <c r="B13" t="s">
        <v>29</v>
      </c>
      <c r="C13" t="s">
        <v>30</v>
      </c>
      <c r="D13" t="s">
        <v>10</v>
      </c>
      <c r="E13" t="s">
        <v>30</v>
      </c>
      <c r="F13" t="s">
        <v>10</v>
      </c>
      <c r="G13" t="s">
        <v>30</v>
      </c>
      <c r="H13" t="s">
        <v>10</v>
      </c>
    </row>
    <row r="14" spans="2:18" x14ac:dyDescent="0.25">
      <c r="B14">
        <v>1</v>
      </c>
      <c r="C14">
        <v>0.61399999999999999</v>
      </c>
      <c r="D14">
        <f>D4*100</f>
        <v>9</v>
      </c>
      <c r="E14">
        <f>E4/11.4</f>
        <v>0.62</v>
      </c>
      <c r="F14">
        <v>9</v>
      </c>
      <c r="G14">
        <f>G4/11.4</f>
        <v>0.62</v>
      </c>
      <c r="H14">
        <v>9</v>
      </c>
    </row>
    <row r="15" spans="2:18" x14ac:dyDescent="0.25">
      <c r="B15">
        <v>2</v>
      </c>
      <c r="C15">
        <v>0.44</v>
      </c>
      <c r="D15">
        <f>D5*100</f>
        <v>21.8</v>
      </c>
      <c r="E15">
        <f>E5/11.4</f>
        <v>0.37651873864889912</v>
      </c>
      <c r="F15">
        <v>19.804013368787601</v>
      </c>
      <c r="G15">
        <f>G5/11.4</f>
        <v>0.45462240025932982</v>
      </c>
      <c r="H15">
        <v>15.6343160661142</v>
      </c>
    </row>
    <row r="16" spans="2:18" x14ac:dyDescent="0.25">
      <c r="B16">
        <v>3</v>
      </c>
      <c r="C16">
        <v>0.49199999999999999</v>
      </c>
      <c r="D16">
        <f>D6*100</f>
        <v>24.4</v>
      </c>
      <c r="E16">
        <f>E6/11.4</f>
        <v>0.2556408924141465</v>
      </c>
      <c r="F16">
        <v>32.205624786774202</v>
      </c>
      <c r="G16">
        <f>G6/11.4</f>
        <v>0.31465770742562982</v>
      </c>
      <c r="H16">
        <v>26.790010741696101</v>
      </c>
    </row>
    <row r="17" spans="2:8" x14ac:dyDescent="0.25">
      <c r="B17">
        <v>4</v>
      </c>
      <c r="C17">
        <v>0.48299999999999998</v>
      </c>
      <c r="D17">
        <f>D7*100</f>
        <v>26.1</v>
      </c>
      <c r="E17">
        <f>E7/11.4</f>
        <v>0.36845402893568419</v>
      </c>
      <c r="F17">
        <v>37.7311039902416</v>
      </c>
      <c r="G17">
        <f>G7/11.4</f>
        <v>0.21677419354838684</v>
      </c>
      <c r="H17">
        <v>38.488303405152699</v>
      </c>
    </row>
    <row r="18" spans="2:8" x14ac:dyDescent="0.25">
      <c r="B18">
        <v>5</v>
      </c>
      <c r="C18">
        <v>0.48199999999999998</v>
      </c>
      <c r="D18">
        <f>D8*100</f>
        <v>26.700000000000003</v>
      </c>
      <c r="E18">
        <f>E8/11.4</f>
        <v>0.28605865635399297</v>
      </c>
      <c r="F18">
        <v>42.1474128923264</v>
      </c>
      <c r="G18">
        <f>G8/11.4</f>
        <v>0.22396076032992981</v>
      </c>
      <c r="H18">
        <v>44.449031533931198</v>
      </c>
    </row>
  </sheetData>
  <mergeCells count="13">
    <mergeCell ref="O2:P2"/>
    <mergeCell ref="Q2:R2"/>
    <mergeCell ref="C12:D12"/>
    <mergeCell ref="E2:F2"/>
    <mergeCell ref="E1:H1"/>
    <mergeCell ref="G2:H2"/>
    <mergeCell ref="E11:H11"/>
    <mergeCell ref="E12:F12"/>
    <mergeCell ref="G12:H12"/>
    <mergeCell ref="B10:H10"/>
    <mergeCell ref="C2:D2"/>
    <mergeCell ref="J2:K2"/>
    <mergeCell ref="L2:M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2E781-0739-4923-86AD-A6E0286D2954}">
  <dimension ref="C2:G13"/>
  <sheetViews>
    <sheetView workbookViewId="0">
      <selection activeCell="F19" sqref="F19"/>
    </sheetView>
  </sheetViews>
  <sheetFormatPr defaultRowHeight="14.15" x14ac:dyDescent="0.25"/>
  <sheetData>
    <row r="2" spans="3:7" x14ac:dyDescent="0.25">
      <c r="D2" s="6" t="s">
        <v>27</v>
      </c>
      <c r="E2" s="6"/>
    </row>
    <row r="3" spans="3:7" x14ac:dyDescent="0.25">
      <c r="C3" t="s">
        <v>36</v>
      </c>
      <c r="D3" t="s">
        <v>37</v>
      </c>
      <c r="E3" t="s">
        <v>38</v>
      </c>
      <c r="F3" t="s">
        <v>39</v>
      </c>
      <c r="G3" t="s">
        <v>40</v>
      </c>
    </row>
    <row r="4" spans="3:7" x14ac:dyDescent="0.25">
      <c r="C4">
        <v>1</v>
      </c>
      <c r="D4">
        <v>1862.3177701526499</v>
      </c>
      <c r="E4">
        <f>D4/$D$4</f>
        <v>1</v>
      </c>
      <c r="F4">
        <v>1</v>
      </c>
      <c r="G4">
        <v>1</v>
      </c>
    </row>
    <row r="5" spans="3:7" x14ac:dyDescent="0.25">
      <c r="C5">
        <f>C4+1</f>
        <v>2</v>
      </c>
      <c r="D5">
        <v>1117.49156012305</v>
      </c>
      <c r="E5">
        <f t="shared" ref="E5:E13" si="0">D5/$D$4</f>
        <v>0.60005417874064093</v>
      </c>
      <c r="F5">
        <v>0.64</v>
      </c>
      <c r="G5">
        <v>0.7</v>
      </c>
    </row>
    <row r="6" spans="3:7" x14ac:dyDescent="0.25">
      <c r="C6">
        <f t="shared" ref="C6:C13" si="1">C5+1</f>
        <v>3</v>
      </c>
      <c r="D6">
        <v>1058.1071115053501</v>
      </c>
      <c r="E6">
        <f t="shared" si="0"/>
        <v>0.56816679111568558</v>
      </c>
      <c r="F6">
        <v>0.63400000000000001</v>
      </c>
      <c r="G6">
        <v>0.60299999999999998</v>
      </c>
    </row>
    <row r="7" spans="3:7" x14ac:dyDescent="0.25">
      <c r="C7">
        <f t="shared" si="1"/>
        <v>4</v>
      </c>
      <c r="D7">
        <v>1050.2954630261399</v>
      </c>
      <c r="E7">
        <f t="shared" si="0"/>
        <v>0.56397220703105333</v>
      </c>
      <c r="F7">
        <v>0.60499999999999998</v>
      </c>
      <c r="G7">
        <v>0.55600000000000005</v>
      </c>
    </row>
    <row r="8" spans="3:7" x14ac:dyDescent="0.25">
      <c r="C8">
        <f t="shared" si="1"/>
        <v>5</v>
      </c>
      <c r="D8">
        <v>1049.2301799965801</v>
      </c>
      <c r="E8">
        <f t="shared" si="0"/>
        <v>0.56340018702102435</v>
      </c>
      <c r="F8">
        <v>0.59299999999999997</v>
      </c>
      <c r="G8">
        <v>0.53</v>
      </c>
    </row>
    <row r="9" spans="3:7" x14ac:dyDescent="0.25">
      <c r="C9">
        <f t="shared" si="1"/>
        <v>6</v>
      </c>
      <c r="D9">
        <v>1049.0717871703901</v>
      </c>
      <c r="E9">
        <f t="shared" si="0"/>
        <v>0.56331513557130486</v>
      </c>
      <c r="F9">
        <v>0.58499999999999996</v>
      </c>
      <c r="G9">
        <v>0.52200000000000002</v>
      </c>
    </row>
    <row r="10" spans="3:7" x14ac:dyDescent="0.25">
      <c r="C10">
        <f t="shared" si="1"/>
        <v>7</v>
      </c>
      <c r="D10">
        <v>1049.0721273238601</v>
      </c>
      <c r="E10">
        <f t="shared" si="0"/>
        <v>0.56331531822191117</v>
      </c>
      <c r="F10">
        <v>0.58099999999999996</v>
      </c>
      <c r="G10">
        <v>0.50700000000000001</v>
      </c>
    </row>
    <row r="11" spans="3:7" x14ac:dyDescent="0.25">
      <c r="C11">
        <f t="shared" si="1"/>
        <v>8</v>
      </c>
      <c r="D11">
        <v>1049.0721273238601</v>
      </c>
      <c r="E11">
        <f t="shared" si="0"/>
        <v>0.56331531822191117</v>
      </c>
      <c r="F11">
        <v>0.59299999999999997</v>
      </c>
      <c r="G11">
        <v>0.503</v>
      </c>
    </row>
    <row r="12" spans="3:7" x14ac:dyDescent="0.25">
      <c r="C12">
        <f t="shared" si="1"/>
        <v>9</v>
      </c>
      <c r="D12">
        <v>1049.0721273238601</v>
      </c>
      <c r="E12">
        <f t="shared" si="0"/>
        <v>0.56331531822191117</v>
      </c>
      <c r="F12">
        <v>0.57899999999999996</v>
      </c>
      <c r="G12">
        <v>0.49299999999999999</v>
      </c>
    </row>
    <row r="13" spans="3:7" x14ac:dyDescent="0.25">
      <c r="C13">
        <f t="shared" si="1"/>
        <v>10</v>
      </c>
      <c r="D13">
        <v>1049.0721273238601</v>
      </c>
      <c r="E13">
        <f t="shared" si="0"/>
        <v>0.56331531822191117</v>
      </c>
      <c r="F13">
        <v>0.57499999999999996</v>
      </c>
      <c r="G13">
        <v>0.49299999999999999</v>
      </c>
    </row>
  </sheetData>
  <mergeCells count="1">
    <mergeCell ref="D2:E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7F2B9-F7F9-467E-8CE1-58675B9CA92D}">
  <dimension ref="B2:K15"/>
  <sheetViews>
    <sheetView workbookViewId="0">
      <selection activeCell="I16" sqref="I16"/>
    </sheetView>
  </sheetViews>
  <sheetFormatPr defaultRowHeight="14.15" x14ac:dyDescent="0.25"/>
  <sheetData>
    <row r="2" spans="2:11" x14ac:dyDescent="0.25">
      <c r="C2" s="6" t="s">
        <v>43</v>
      </c>
      <c r="D2" s="6"/>
      <c r="E2" s="6" t="s">
        <v>44</v>
      </c>
      <c r="F2" s="6"/>
      <c r="G2" s="6" t="s">
        <v>47</v>
      </c>
      <c r="H2" s="6"/>
      <c r="I2" s="6" t="s">
        <v>48</v>
      </c>
      <c r="J2" s="6"/>
      <c r="K2" t="s">
        <v>45</v>
      </c>
    </row>
    <row r="3" spans="2:11" x14ac:dyDescent="0.25">
      <c r="B3" t="s">
        <v>29</v>
      </c>
      <c r="C3" t="s">
        <v>41</v>
      </c>
      <c r="D3" t="s">
        <v>42</v>
      </c>
      <c r="E3" t="s">
        <v>41</v>
      </c>
      <c r="F3" t="s">
        <v>42</v>
      </c>
      <c r="G3" t="s">
        <v>41</v>
      </c>
      <c r="H3" t="s">
        <v>42</v>
      </c>
      <c r="I3" t="s">
        <v>41</v>
      </c>
      <c r="J3" t="s">
        <v>42</v>
      </c>
    </row>
    <row r="4" spans="2:11" x14ac:dyDescent="0.25">
      <c r="B4">
        <v>1</v>
      </c>
      <c r="C4">
        <v>1.9530000000000001</v>
      </c>
      <c r="D4">
        <v>1.736</v>
      </c>
      <c r="E4">
        <v>2.032</v>
      </c>
      <c r="F4">
        <v>1.8540000000000001</v>
      </c>
      <c r="G4">
        <v>1862.3177701526499</v>
      </c>
      <c r="H4">
        <v>1862.17249955479</v>
      </c>
      <c r="I4">
        <f t="shared" ref="I4:J8" si="0">G4/1000</f>
        <v>1.8623177701526499</v>
      </c>
      <c r="J4">
        <f t="shared" si="0"/>
        <v>1.8621724995547899</v>
      </c>
    </row>
    <row r="5" spans="2:11" x14ac:dyDescent="0.25">
      <c r="B5">
        <v>2</v>
      </c>
      <c r="C5">
        <v>0.79900000000000004</v>
      </c>
      <c r="D5">
        <v>0.89700000000000002</v>
      </c>
      <c r="E5">
        <v>0.83799999999999997</v>
      </c>
      <c r="F5">
        <v>0.74</v>
      </c>
      <c r="G5">
        <v>1117.49156012305</v>
      </c>
      <c r="H5">
        <v>841.90355929797704</v>
      </c>
      <c r="I5">
        <f t="shared" si="0"/>
        <v>1.11749156012305</v>
      </c>
      <c r="J5">
        <f t="shared" si="0"/>
        <v>0.841903559297977</v>
      </c>
    </row>
    <row r="6" spans="2:11" x14ac:dyDescent="0.25">
      <c r="B6">
        <v>3</v>
      </c>
      <c r="C6">
        <v>0.73</v>
      </c>
      <c r="D6">
        <v>0.98599999999999999</v>
      </c>
      <c r="E6">
        <v>0.77900000000000003</v>
      </c>
      <c r="F6">
        <v>0.73</v>
      </c>
      <c r="G6">
        <v>1058.1071115053501</v>
      </c>
      <c r="H6">
        <v>985.84773458992504</v>
      </c>
      <c r="I6">
        <f t="shared" si="0"/>
        <v>1.05810711150535</v>
      </c>
      <c r="J6">
        <f t="shared" si="0"/>
        <v>0.98584773458992503</v>
      </c>
    </row>
    <row r="7" spans="2:11" x14ac:dyDescent="0.25">
      <c r="B7">
        <v>4</v>
      </c>
      <c r="C7">
        <v>0.71</v>
      </c>
      <c r="D7">
        <v>1.016</v>
      </c>
      <c r="E7">
        <v>0.85799999999999998</v>
      </c>
      <c r="F7">
        <v>0.75900000000000001</v>
      </c>
      <c r="G7">
        <v>1050.2954630261399</v>
      </c>
      <c r="H7">
        <v>1037.0480076107301</v>
      </c>
      <c r="I7">
        <f t="shared" si="0"/>
        <v>1.0502954630261399</v>
      </c>
      <c r="J7">
        <f t="shared" si="0"/>
        <v>1.03704800761073</v>
      </c>
    </row>
    <row r="8" spans="2:11" x14ac:dyDescent="0.25">
      <c r="B8">
        <v>5</v>
      </c>
      <c r="C8">
        <v>0.69</v>
      </c>
      <c r="D8">
        <v>1.1439999999999999</v>
      </c>
      <c r="E8">
        <v>0.92700000000000005</v>
      </c>
      <c r="F8">
        <v>0.92700000000000005</v>
      </c>
      <c r="G8">
        <v>1049.2301799965801</v>
      </c>
      <c r="H8">
        <v>1042.8002343284099</v>
      </c>
      <c r="I8">
        <f t="shared" si="0"/>
        <v>1.0492301799965802</v>
      </c>
      <c r="J8">
        <f t="shared" si="0"/>
        <v>1.04280023432841</v>
      </c>
    </row>
    <row r="9" spans="2:11" x14ac:dyDescent="0.25">
      <c r="B9" t="s">
        <v>46</v>
      </c>
      <c r="C9">
        <f t="shared" ref="C9:J9" si="1">SUM(C4:C8)</f>
        <v>4.8819999999999997</v>
      </c>
      <c r="D9">
        <f t="shared" si="1"/>
        <v>5.7789999999999999</v>
      </c>
      <c r="E9">
        <f t="shared" si="1"/>
        <v>5.4339999999999993</v>
      </c>
      <c r="F9">
        <f t="shared" si="1"/>
        <v>5.01</v>
      </c>
      <c r="G9">
        <f t="shared" si="1"/>
        <v>6137.4420848037698</v>
      </c>
      <c r="H9">
        <f t="shared" si="1"/>
        <v>5769.7720353818313</v>
      </c>
      <c r="I9">
        <f t="shared" si="1"/>
        <v>6.1374420848037703</v>
      </c>
      <c r="J9">
        <f t="shared" si="1"/>
        <v>5.7697720353818314</v>
      </c>
    </row>
    <row r="15" spans="2:11" x14ac:dyDescent="0.25">
      <c r="I15">
        <f>(J9-I9)*100/I9</f>
        <v>-5.9906072324867283</v>
      </c>
    </row>
  </sheetData>
  <mergeCells count="4">
    <mergeCell ref="C2:D2"/>
    <mergeCell ref="E2:F2"/>
    <mergeCell ref="I2:J2"/>
    <mergeCell ref="G2:H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48FD9-301D-457F-AE14-7A8D9661D287}">
  <dimension ref="B2:J31"/>
  <sheetViews>
    <sheetView tabSelected="1" workbookViewId="0">
      <selection activeCell="G27" sqref="G27"/>
    </sheetView>
  </sheetViews>
  <sheetFormatPr defaultRowHeight="14.15" x14ac:dyDescent="0.25"/>
  <sheetData>
    <row r="2" spans="3:10" x14ac:dyDescent="0.25">
      <c r="C2" s="6" t="s">
        <v>51</v>
      </c>
      <c r="D2" s="6"/>
      <c r="E2" s="6"/>
      <c r="G2" s="6" t="s">
        <v>52</v>
      </c>
      <c r="H2" s="6"/>
      <c r="I2" s="6"/>
    </row>
    <row r="3" spans="3:10" x14ac:dyDescent="0.25">
      <c r="C3" t="s">
        <v>49</v>
      </c>
      <c r="D3" t="s">
        <v>10</v>
      </c>
      <c r="E3" t="s">
        <v>50</v>
      </c>
      <c r="F3" t="s">
        <v>53</v>
      </c>
      <c r="G3" t="s">
        <v>49</v>
      </c>
      <c r="H3" t="s">
        <v>10</v>
      </c>
      <c r="I3" t="s">
        <v>50</v>
      </c>
      <c r="J3" t="s">
        <v>53</v>
      </c>
    </row>
    <row r="4" spans="3:10" x14ac:dyDescent="0.25">
      <c r="C4">
        <v>8</v>
      </c>
      <c r="D4">
        <v>6</v>
      </c>
      <c r="E4">
        <v>1862.2114847831399</v>
      </c>
      <c r="F4">
        <v>673.60295164024296</v>
      </c>
      <c r="G4">
        <v>8</v>
      </c>
      <c r="H4">
        <v>6</v>
      </c>
      <c r="I4">
        <v>1862.27236438407</v>
      </c>
    </row>
    <row r="5" spans="3:10" x14ac:dyDescent="0.25">
      <c r="C5">
        <v>6.7678780082193901</v>
      </c>
      <c r="D5">
        <v>13.123786853401301</v>
      </c>
      <c r="E5">
        <v>1117.8856148795001</v>
      </c>
      <c r="F5">
        <v>718.12600677310195</v>
      </c>
      <c r="G5">
        <f>G4-0.2</f>
        <v>7.8</v>
      </c>
      <c r="H5">
        <f>H4+1</f>
        <v>7</v>
      </c>
      <c r="I5">
        <v>1727.16023040103</v>
      </c>
    </row>
    <row r="6" spans="3:10" x14ac:dyDescent="0.25">
      <c r="C6">
        <v>6.6497850704675301</v>
      </c>
      <c r="D6">
        <v>13.9520578144542</v>
      </c>
      <c r="E6">
        <v>1058.5325862749801</v>
      </c>
      <c r="F6">
        <v>727.267181087484</v>
      </c>
      <c r="G6">
        <f t="shared" ref="G6:G13" si="0">G5-0.2</f>
        <v>7.6</v>
      </c>
      <c r="H6">
        <f t="shared" ref="H6:H13" si="1">H5+1</f>
        <v>8</v>
      </c>
      <c r="I6">
        <v>1598.27447438082</v>
      </c>
    </row>
    <row r="7" spans="3:10" x14ac:dyDescent="0.25">
      <c r="C7">
        <v>6.6338469468619303</v>
      </c>
      <c r="D7">
        <v>14.063798371775199</v>
      </c>
      <c r="E7">
        <v>1050.7277584186099</v>
      </c>
      <c r="F7">
        <v>729.01811603343594</v>
      </c>
      <c r="G7">
        <f t="shared" si="0"/>
        <v>7.3999999999999995</v>
      </c>
      <c r="H7">
        <f t="shared" si="1"/>
        <v>9</v>
      </c>
      <c r="I7">
        <v>1475.46942100358</v>
      </c>
    </row>
    <row r="8" spans="3:10" x14ac:dyDescent="0.25">
      <c r="C8">
        <v>6.6316911222024704</v>
      </c>
      <c r="D8">
        <v>14.0789111042744</v>
      </c>
      <c r="E8">
        <v>1049.6639792430001</v>
      </c>
      <c r="F8">
        <v>729.13447709129298</v>
      </c>
      <c r="G8">
        <f t="shared" si="0"/>
        <v>7.1999999999999993</v>
      </c>
      <c r="H8">
        <f t="shared" si="1"/>
        <v>10</v>
      </c>
      <c r="I8">
        <v>1358.59939494947</v>
      </c>
    </row>
    <row r="9" spans="3:10" x14ac:dyDescent="0.25">
      <c r="C9">
        <v>6.6314231521639098</v>
      </c>
      <c r="D9">
        <v>14.0807895971923</v>
      </c>
      <c r="E9">
        <v>1049.5058538292001</v>
      </c>
      <c r="F9">
        <v>729.15092682587397</v>
      </c>
      <c r="G9">
        <f t="shared" si="0"/>
        <v>6.9999999999999991</v>
      </c>
      <c r="H9">
        <f t="shared" si="1"/>
        <v>11</v>
      </c>
      <c r="I9">
        <v>1247.5187208986499</v>
      </c>
    </row>
    <row r="10" spans="3:10" x14ac:dyDescent="0.25">
      <c r="C10">
        <v>6.6313834887782797</v>
      </c>
      <c r="D10">
        <v>14.081067640411799</v>
      </c>
      <c r="E10">
        <v>1049.5062165581801</v>
      </c>
      <c r="F10">
        <v>729.15574398586</v>
      </c>
      <c r="G10">
        <f t="shared" si="0"/>
        <v>6.7999999999999989</v>
      </c>
      <c r="H10">
        <f t="shared" si="1"/>
        <v>12</v>
      </c>
      <c r="I10">
        <v>1142.08172353126</v>
      </c>
    </row>
    <row r="11" spans="3:10" x14ac:dyDescent="0.25">
      <c r="C11">
        <v>6.6313829939712896</v>
      </c>
      <c r="D11">
        <v>14.081071109044</v>
      </c>
      <c r="E11">
        <v>1049.5062165581801</v>
      </c>
      <c r="F11">
        <v>729.15574398586</v>
      </c>
      <c r="G11">
        <f t="shared" si="0"/>
        <v>6.5999999999999988</v>
      </c>
      <c r="H11">
        <f t="shared" si="1"/>
        <v>13</v>
      </c>
      <c r="I11">
        <v>1042.14272752746</v>
      </c>
    </row>
    <row r="12" spans="3:10" x14ac:dyDescent="0.25">
      <c r="C12">
        <v>6.6313829939712896</v>
      </c>
      <c r="D12">
        <v>14.081071109044</v>
      </c>
      <c r="E12">
        <v>1049.5062165581801</v>
      </c>
      <c r="F12">
        <v>729.15574398586</v>
      </c>
      <c r="G12">
        <f t="shared" si="0"/>
        <v>6.3999999999999986</v>
      </c>
      <c r="H12">
        <f t="shared" si="1"/>
        <v>14</v>
      </c>
      <c r="I12">
        <v>947.55605756739601</v>
      </c>
    </row>
    <row r="13" spans="3:10" x14ac:dyDescent="0.25">
      <c r="C13">
        <v>6.6313829939712896</v>
      </c>
      <c r="D13">
        <v>14.081071109044</v>
      </c>
      <c r="E13">
        <v>1049.5062165581801</v>
      </c>
      <c r="F13">
        <v>729.15574398586</v>
      </c>
      <c r="G13">
        <f t="shared" si="0"/>
        <v>6.1999999999999984</v>
      </c>
      <c r="H13">
        <f t="shared" si="1"/>
        <v>15</v>
      </c>
      <c r="I13">
        <v>858.17603833122996</v>
      </c>
    </row>
    <row r="15" spans="3:10" x14ac:dyDescent="0.25">
      <c r="C15" s="6" t="s">
        <v>51</v>
      </c>
      <c r="D15" s="6"/>
      <c r="E15" s="6"/>
      <c r="F15" t="s">
        <v>51</v>
      </c>
      <c r="G15" s="6" t="s">
        <v>55</v>
      </c>
      <c r="H15" s="6"/>
      <c r="I15" s="6"/>
      <c r="J15" t="s">
        <v>56</v>
      </c>
    </row>
    <row r="16" spans="3:10" x14ac:dyDescent="0.25">
      <c r="C16" t="s">
        <v>22</v>
      </c>
      <c r="D16" t="s">
        <v>50</v>
      </c>
      <c r="E16" t="s">
        <v>54</v>
      </c>
      <c r="F16" t="s">
        <v>57</v>
      </c>
      <c r="G16" t="s">
        <v>22</v>
      </c>
      <c r="H16" t="s">
        <v>50</v>
      </c>
      <c r="I16" t="s">
        <v>54</v>
      </c>
      <c r="J16" t="s">
        <v>57</v>
      </c>
    </row>
    <row r="17" spans="2:10" x14ac:dyDescent="0.25">
      <c r="B17">
        <v>1862.27236438407</v>
      </c>
      <c r="C17">
        <v>0</v>
      </c>
      <c r="D17">
        <v>1.8624331919794099</v>
      </c>
      <c r="F17">
        <v>2.98045148218853</v>
      </c>
      <c r="G17">
        <v>0</v>
      </c>
      <c r="H17">
        <f>B17/1000</f>
        <v>1.86227236438407</v>
      </c>
      <c r="J17">
        <f>B23/1000</f>
        <v>2.9898143455716397</v>
      </c>
    </row>
    <row r="18" spans="2:10" x14ac:dyDescent="0.25">
      <c r="B18">
        <v>1840.7381895732101</v>
      </c>
      <c r="C18">
        <f>C17+1</f>
        <v>1</v>
      </c>
      <c r="D18">
        <v>1.83081284040067</v>
      </c>
      <c r="F18">
        <v>3.0158914531080598</v>
      </c>
      <c r="G18">
        <f>G17+1</f>
        <v>1</v>
      </c>
      <c r="H18">
        <f>B18/1000</f>
        <v>1.84073818957321</v>
      </c>
      <c r="J18">
        <f t="shared" ref="J18:J21" si="2">B24/1000</f>
        <v>3.0339714852694901</v>
      </c>
    </row>
    <row r="19" spans="2:10" x14ac:dyDescent="0.25">
      <c r="B19">
        <v>1782.3081104824701</v>
      </c>
      <c r="C19">
        <f t="shared" ref="C19:C20" si="3">C18+1</f>
        <v>2</v>
      </c>
      <c r="D19">
        <v>1.76602945629015</v>
      </c>
      <c r="F19">
        <v>3.0171263477779999</v>
      </c>
      <c r="G19">
        <f t="shared" ref="G19:G20" si="4">G18+1</f>
        <v>2</v>
      </c>
      <c r="H19">
        <f>B19/1000</f>
        <v>1.7823081104824701</v>
      </c>
      <c r="J19">
        <f t="shared" si="2"/>
        <v>3.0407952588386804</v>
      </c>
    </row>
    <row r="20" spans="2:10" x14ac:dyDescent="0.25">
      <c r="B20">
        <v>1682.51894855007</v>
      </c>
      <c r="C20">
        <f t="shared" si="3"/>
        <v>3</v>
      </c>
      <c r="D20">
        <v>1.67770681633601</v>
      </c>
      <c r="F20">
        <v>2.9919051224573701</v>
      </c>
      <c r="G20">
        <f t="shared" si="4"/>
        <v>3</v>
      </c>
      <c r="H20">
        <f>B20/1000</f>
        <v>1.68251894855007</v>
      </c>
      <c r="J20">
        <f t="shared" si="2"/>
        <v>3.0027829270077602</v>
      </c>
    </row>
    <row r="21" spans="2:10" x14ac:dyDescent="0.25">
      <c r="B21">
        <v>1551.1790169194401</v>
      </c>
      <c r="C21">
        <f>C20+1</f>
        <v>4</v>
      </c>
      <c r="D21">
        <v>1.5438997464828399</v>
      </c>
      <c r="F21">
        <v>2.9258676614480801</v>
      </c>
      <c r="G21">
        <f>G20+1</f>
        <v>4</v>
      </c>
      <c r="H21">
        <f>B21/1000</f>
        <v>1.5511790169194402</v>
      </c>
      <c r="J21">
        <f t="shared" si="2"/>
        <v>2.93814490852382</v>
      </c>
    </row>
    <row r="22" spans="2:10" x14ac:dyDescent="0.25">
      <c r="D22" t="s">
        <v>61</v>
      </c>
      <c r="E22" t="s">
        <v>60</v>
      </c>
      <c r="F22" t="s">
        <v>58</v>
      </c>
      <c r="G22" t="s">
        <v>61</v>
      </c>
      <c r="H22" t="s">
        <v>60</v>
      </c>
      <c r="J22" t="s">
        <v>59</v>
      </c>
    </row>
    <row r="23" spans="2:10" x14ac:dyDescent="0.25">
      <c r="B23">
        <v>2989.8143455716399</v>
      </c>
      <c r="D23">
        <v>666.13449478096197</v>
      </c>
      <c r="E23">
        <v>714.78439429857497</v>
      </c>
      <c r="F23">
        <v>1380.9188890795399</v>
      </c>
      <c r="G23">
        <v>654.51337238045699</v>
      </c>
      <c r="H23">
        <v>730.85649058808701</v>
      </c>
      <c r="J23">
        <v>1385.36986296854</v>
      </c>
    </row>
    <row r="24" spans="2:10" x14ac:dyDescent="0.25">
      <c r="B24">
        <v>3033.9714852694901</v>
      </c>
      <c r="D24">
        <v>669.06609949875894</v>
      </c>
      <c r="E24">
        <v>706.87892997154904</v>
      </c>
      <c r="F24">
        <v>1375.9450294703099</v>
      </c>
      <c r="G24">
        <v>656.28564790461803</v>
      </c>
      <c r="H24">
        <v>723.68936476272404</v>
      </c>
      <c r="J24">
        <v>1379.97501266734</v>
      </c>
    </row>
    <row r="25" spans="2:10" x14ac:dyDescent="0.25">
      <c r="B25">
        <v>3040.7952588386802</v>
      </c>
      <c r="D25">
        <v>673.61970742711799</v>
      </c>
      <c r="E25">
        <v>699.96176950438098</v>
      </c>
      <c r="F25">
        <v>1373.5814769315</v>
      </c>
      <c r="G25">
        <v>660.42925981631004</v>
      </c>
      <c r="H25">
        <v>715.94715724067396</v>
      </c>
      <c r="J25">
        <v>1376.37641705698</v>
      </c>
    </row>
    <row r="26" spans="2:10" x14ac:dyDescent="0.25">
      <c r="B26">
        <v>3002.78292700776</v>
      </c>
      <c r="D26">
        <v>680.81802901444098</v>
      </c>
      <c r="E26">
        <v>692.47650681021901</v>
      </c>
      <c r="F26">
        <v>1373.29453582466</v>
      </c>
      <c r="G26">
        <v>667.43248551880095</v>
      </c>
      <c r="H26">
        <v>708.12116433724395</v>
      </c>
      <c r="J26">
        <v>1375.55364985605</v>
      </c>
    </row>
    <row r="27" spans="2:10" x14ac:dyDescent="0.25">
      <c r="B27">
        <v>2938.14490852382</v>
      </c>
      <c r="D27">
        <v>691.91398352151498</v>
      </c>
      <c r="E27">
        <v>687.50415411792596</v>
      </c>
      <c r="F27">
        <v>1379.4181376394399</v>
      </c>
      <c r="G27">
        <v>672.87938661256101</v>
      </c>
      <c r="H27">
        <v>699.24664036514105</v>
      </c>
      <c r="J27">
        <v>1372.1260269776999</v>
      </c>
    </row>
    <row r="30" spans="2:10" x14ac:dyDescent="0.25">
      <c r="B30" s="7" t="s">
        <v>62</v>
      </c>
      <c r="C30" s="6"/>
      <c r="D30" s="6"/>
      <c r="E30" s="5">
        <v>11386.5521436611</v>
      </c>
      <c r="F30" t="s">
        <v>64</v>
      </c>
    </row>
    <row r="31" spans="2:10" x14ac:dyDescent="0.25">
      <c r="B31" t="s">
        <v>63</v>
      </c>
      <c r="E31">
        <v>11526.326108573399</v>
      </c>
      <c r="F31" t="s">
        <v>64</v>
      </c>
    </row>
  </sheetData>
  <mergeCells count="5">
    <mergeCell ref="C2:E2"/>
    <mergeCell ref="G2:I2"/>
    <mergeCell ref="C15:E15"/>
    <mergeCell ref="G15:I15"/>
    <mergeCell ref="B30:D3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randomCalculations</vt:lpstr>
      <vt:lpstr>CpCtVsa</vt:lpstr>
      <vt:lpstr>getGebraad2.6</vt:lpstr>
      <vt:lpstr>vanderHoek</vt:lpstr>
      <vt:lpstr>realData</vt:lpstr>
      <vt:lpstr>benchmark</vt:lpstr>
      <vt:lpstr>verifyPoli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Ramos</dc:creator>
  <cp:lastModifiedBy>Manuel Ramos</cp:lastModifiedBy>
  <dcterms:created xsi:type="dcterms:W3CDTF">2019-10-06T18:21:32Z</dcterms:created>
  <dcterms:modified xsi:type="dcterms:W3CDTF">2019-10-25T11:27:28Z</dcterms:modified>
</cp:coreProperties>
</file>