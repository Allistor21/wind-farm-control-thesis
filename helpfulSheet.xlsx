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control-thesis\"/>
    </mc:Choice>
  </mc:AlternateContent>
  <xr:revisionPtr revIDLastSave="0" documentId="13_ncr:1_{68482FCD-4CB7-47BF-811D-BCF978583BE2}" xr6:coauthVersionLast="45" xr6:coauthVersionMax="45" xr10:uidLastSave="{00000000-0000-0000-0000-000000000000}"/>
  <bookViews>
    <workbookView xWindow="-108" yWindow="-108" windowWidth="26055" windowHeight="14158" activeTab="6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benchmark" sheetId="6" r:id="rId6"/>
    <sheet name="verifyPoli" sheetId="7" r:id="rId7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5" i="6" l="1"/>
  <c r="J5" i="6" l="1"/>
  <c r="J6" i="6"/>
  <c r="J7" i="6"/>
  <c r="J8" i="6"/>
  <c r="J4" i="6"/>
  <c r="J9" i="6" s="1"/>
  <c r="I9" i="6"/>
  <c r="I5" i="6"/>
  <c r="I6" i="6"/>
  <c r="I7" i="6"/>
  <c r="I8" i="6"/>
  <c r="I4" i="6"/>
  <c r="C9" i="6"/>
  <c r="D9" i="6"/>
  <c r="E9" i="6"/>
  <c r="F9" i="6"/>
  <c r="G9" i="6"/>
  <c r="H9" i="6"/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7" i="1" l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6" i="1"/>
  <c r="B24" i="1"/>
  <c r="B25" i="1" s="1"/>
  <c r="B26" i="1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7" i="1"/>
  <c r="C28" i="2" l="1"/>
  <c r="B28" i="2"/>
  <c r="G19" i="2"/>
  <c r="C21" i="2"/>
  <c r="B21" i="2"/>
  <c r="E5" i="2" l="1"/>
  <c r="E6" i="2"/>
  <c r="E7" i="2"/>
  <c r="E8" i="2"/>
  <c r="E9" i="2"/>
  <c r="E10" i="2"/>
  <c r="E11" i="2"/>
  <c r="E12" i="2"/>
  <c r="E13" i="2"/>
  <c r="E14" i="2"/>
  <c r="E15" i="2"/>
  <c r="E4" i="2"/>
</calcChain>
</file>

<file path=xl/sharedStrings.xml><?xml version="1.0" encoding="utf-8"?>
<sst xmlns="http://schemas.openxmlformats.org/spreadsheetml/2006/main" count="249" uniqueCount="60">
  <si>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</si>
  <si>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</si>
  <si>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</si>
  <si>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</si>
  <si>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</si>
  <si>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</si>
  <si>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</si>
  <si>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</si>
  <si>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</si>
  <si>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</si>
  <si>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</si>
  <si>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</si>
  <si>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</si>
  <si>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</si>
  <si>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</si>
  <si>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</si>
  <si>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</si>
  <si>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</si>
  <si>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</si>
  <si>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</si>
  <si>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</si>
  <si>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</si>
  <si>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</si>
  <si>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</si>
  <si>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</si>
  <si>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</si>
  <si>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</si>
  <si>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</si>
  <si>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</si>
  <si>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</si>
  <si>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</si>
  <si>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</si>
  <si>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</si>
  <si>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</si>
  <si>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</si>
  <si>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</si>
  <si>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</si>
  <si>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</si>
  <si>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</si>
  <si>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</si>
  <si>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</si>
  <si>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Baseline</t>
  </si>
  <si>
    <t>Optimised</t>
  </si>
  <si>
    <t>FLORIS</t>
  </si>
  <si>
    <t>SOWFA</t>
  </si>
  <si>
    <t>obj = 2</t>
  </si>
  <si>
    <t>TOTAL</t>
  </si>
  <si>
    <t>FASTnAT (kW)</t>
  </si>
  <si>
    <t>FASTnAT (MW)</t>
  </si>
  <si>
    <t>P</t>
  </si>
  <si>
    <t>FAST</t>
  </si>
  <si>
    <t>Load</t>
  </si>
  <si>
    <t>Poli</t>
  </si>
  <si>
    <t>pitch = 0</t>
  </si>
  <si>
    <t>TI = 8</t>
  </si>
  <si>
    <t>TI = 12</t>
  </si>
  <si>
    <t>TI = 16</t>
  </si>
  <si>
    <t>NaN</t>
  </si>
  <si>
    <t>pitch = 2.5</t>
  </si>
  <si>
    <t>pitch =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</si>
</sst>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0" fontId="0" fillId="0" borderId="0" xfId="0" applyBorder="1" applyAlignment="1"/>
    <xf numFmtId="0" fontId="0" fillId="0" borderId="0" xfId="0" applyAlignment="1"/>
    <xf numFmtId="0" fontId="0" fillId="0" borderId="1" xfId="0" applyBorder="1" applyAlignment="1"/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7.6917153927817496</c:v>
                </c:pt>
                <c:pt idx="1">
                  <c:v>7.6922699245458404</c:v>
                </c:pt>
                <c:pt idx="2">
                  <c:v>7.6926770081712297</c:v>
                </c:pt>
                <c:pt idx="3">
                  <c:v>7.6929338414266004</c:v>
                </c:pt>
                <c:pt idx="4">
                  <c:v>7.69296382373438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8.5031802148166307</c:v>
                </c:pt>
                <c:pt idx="1">
                  <c:v>8.3932143198203306</c:v>
                </c:pt>
                <c:pt idx="2">
                  <c:v>8.2919999382232294</c:v>
                </c:pt>
                <c:pt idx="3">
                  <c:v>8.2003976650590999</c:v>
                </c:pt>
                <c:pt idx="4">
                  <c:v>8.1098224538620194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2096019247764966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254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2"/>
          <c:order val="1"/>
          <c:tx>
            <c:v>Turbine 1 - FASTnAT</c:v>
          </c:tx>
          <c:spPr>
            <a:ln w="254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1.8624331919794099</c:v>
                </c:pt>
                <c:pt idx="1">
                  <c:v>1.83081284040067</c:v>
                </c:pt>
                <c:pt idx="2">
                  <c:v>1.76602945629015</c:v>
                </c:pt>
                <c:pt idx="3">
                  <c:v>1.67770681633601</c:v>
                </c:pt>
                <c:pt idx="4">
                  <c:v>1.5438997464828399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1"/>
          <c:order val="3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1.11801829020912</c:v>
                </c:pt>
                <c:pt idx="1">
                  <c:v>1.18507861270739</c:v>
                </c:pt>
                <c:pt idx="2">
                  <c:v>1.25109689148784</c:v>
                </c:pt>
                <c:pt idx="3">
                  <c:v>1.31419830612135</c:v>
                </c:pt>
                <c:pt idx="4">
                  <c:v>1.38196791496524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2.98045148218853</c:v>
                </c:pt>
                <c:pt idx="1">
                  <c:v>3.0158914531080603</c:v>
                </c:pt>
                <c:pt idx="2">
                  <c:v>3.0171263477779897</c:v>
                </c:pt>
                <c:pt idx="3">
                  <c:v>2.9919051224573598</c:v>
                </c:pt>
                <c:pt idx="4">
                  <c:v>2.9258676614480796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turbine 1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Turbine</a:t>
                </a:r>
                <a:r>
                  <a:rPr lang="en-GB" sz="1600" baseline="0"/>
                  <a:t> power [MW]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21963684005679E-3"/>
          <c:y val="0.79023952535830244"/>
          <c:w val="0.99255903260169043"/>
          <c:h val="0.20976033922496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0.60005417874064093</c:v>
                </c:pt>
                <c:pt idx="2">
                  <c:v>0.56816679111568558</c:v>
                </c:pt>
                <c:pt idx="3">
                  <c:v>0.56397220703105333</c:v>
                </c:pt>
                <c:pt idx="4">
                  <c:v>0.56340018702102435</c:v>
                </c:pt>
                <c:pt idx="5">
                  <c:v>0.56331513557130486</c:v>
                </c:pt>
                <c:pt idx="6">
                  <c:v>0.56331531822191117</c:v>
                </c:pt>
                <c:pt idx="7">
                  <c:v>0.56331531822191117</c:v>
                </c:pt>
                <c:pt idx="8">
                  <c:v>0.56331531822191117</c:v>
                </c:pt>
                <c:pt idx="9">
                  <c:v>0.56331531822191117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FLORIS - Baseline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benchmark!$C$4:$C$9</c:f>
              <c:numCache>
                <c:formatCode>General</c:formatCode>
                <c:ptCount val="6"/>
                <c:pt idx="0">
                  <c:v>1.9530000000000001</c:v>
                </c:pt>
                <c:pt idx="1">
                  <c:v>0.79900000000000004</c:v>
                </c:pt>
                <c:pt idx="2">
                  <c:v>0.73</c:v>
                </c:pt>
                <c:pt idx="3">
                  <c:v>0.71</c:v>
                </c:pt>
                <c:pt idx="4">
                  <c:v>0.69</c:v>
                </c:pt>
                <c:pt idx="5">
                  <c:v>4.8819999999999997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B4-4BCF-8943-5CA89D8F2853}"/>
            </c:ext>
          </c:extLst>
        </c:ser>
        <c:ser>
          <c:idx val="1"/>
          <c:order val="1"/>
          <c:tx>
            <c:v>FLORIS - Optimised</c:v>
          </c:tx>
          <c:spPr>
            <a:solidFill>
              <a:srgbClr val="FF9999"/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benchmark!$D$4:$D$9</c:f>
              <c:numCache>
                <c:formatCode>General</c:formatCode>
                <c:ptCount val="6"/>
                <c:pt idx="0">
                  <c:v>1.736</c:v>
                </c:pt>
                <c:pt idx="1">
                  <c:v>0.89700000000000002</c:v>
                </c:pt>
                <c:pt idx="2">
                  <c:v>0.98599999999999999</c:v>
                </c:pt>
                <c:pt idx="3">
                  <c:v>1.016</c:v>
                </c:pt>
                <c:pt idx="4">
                  <c:v>1.1439999999999999</c:v>
                </c:pt>
                <c:pt idx="5">
                  <c:v>5.7789999999999999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4-4BCF-8943-5CA89D8F2853}"/>
            </c:ext>
          </c:extLst>
        </c:ser>
        <c:ser>
          <c:idx val="2"/>
          <c:order val="2"/>
          <c:tx>
            <c:v>SOWFA - Baseline</c:v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benchmark!$E$4:$E$9</c:f>
              <c:numCache>
                <c:formatCode>General</c:formatCode>
                <c:ptCount val="6"/>
                <c:pt idx="0">
                  <c:v>2.032</c:v>
                </c:pt>
                <c:pt idx="1">
                  <c:v>0.83799999999999997</c:v>
                </c:pt>
                <c:pt idx="2">
                  <c:v>0.77900000000000003</c:v>
                </c:pt>
                <c:pt idx="3">
                  <c:v>0.85799999999999998</c:v>
                </c:pt>
                <c:pt idx="4">
                  <c:v>0.92700000000000005</c:v>
                </c:pt>
                <c:pt idx="5">
                  <c:v>5.4339999999999993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B4-4BCF-8943-5CA89D8F2853}"/>
            </c:ext>
          </c:extLst>
        </c:ser>
        <c:ser>
          <c:idx val="3"/>
          <c:order val="3"/>
          <c:tx>
            <c:v>SOWFA - Optimised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benchmark!$F$4:$F$9</c:f>
              <c:numCache>
                <c:formatCode>General</c:formatCode>
                <c:ptCount val="6"/>
                <c:pt idx="0">
                  <c:v>1.8540000000000001</c:v>
                </c:pt>
                <c:pt idx="1">
                  <c:v>0.74</c:v>
                </c:pt>
                <c:pt idx="2">
                  <c:v>0.73</c:v>
                </c:pt>
                <c:pt idx="3">
                  <c:v>0.75900000000000001</c:v>
                </c:pt>
                <c:pt idx="4">
                  <c:v>0.92700000000000005</c:v>
                </c:pt>
                <c:pt idx="5">
                  <c:v>5.01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B4-4BCF-8943-5CA89D8F2853}"/>
            </c:ext>
          </c:extLst>
        </c:ser>
        <c:ser>
          <c:idx val="4"/>
          <c:order val="4"/>
          <c:tx>
            <c:v>FASTnAT - Baseline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benchmark!$I$4:$I$9</c:f>
              <c:numCache>
                <c:formatCode>General</c:formatCode>
                <c:ptCount val="6"/>
                <c:pt idx="0">
                  <c:v>1.8623177701526499</c:v>
                </c:pt>
                <c:pt idx="1">
                  <c:v>1.11749156012305</c:v>
                </c:pt>
                <c:pt idx="2">
                  <c:v>1.05810711150535</c:v>
                </c:pt>
                <c:pt idx="3">
                  <c:v>1.0502954630261399</c:v>
                </c:pt>
                <c:pt idx="4">
                  <c:v>1.0492301799965802</c:v>
                </c:pt>
                <c:pt idx="5">
                  <c:v>6.1374420848037703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8B4-4BCF-8943-5CA89D8F2853}"/>
            </c:ext>
          </c:extLst>
        </c:ser>
        <c:ser>
          <c:idx val="5"/>
          <c:order val="5"/>
          <c:tx>
            <c:v>FASTnAT - Optimised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benchmark!$J$4:$J$9</c:f>
              <c:numCache>
                <c:formatCode>General</c:formatCode>
                <c:ptCount val="6"/>
                <c:pt idx="0">
                  <c:v>1.8621724995547899</c:v>
                </c:pt>
                <c:pt idx="1">
                  <c:v>0.841903559297977</c:v>
                </c:pt>
                <c:pt idx="2">
                  <c:v>0.98584773458992503</c:v>
                </c:pt>
                <c:pt idx="3">
                  <c:v>1.03704800761073</c:v>
                </c:pt>
                <c:pt idx="4">
                  <c:v>1.04280023432841</c:v>
                </c:pt>
                <c:pt idx="5">
                  <c:v>5.7697720353818314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8B4-4BCF-8943-5CA89D8F2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6"/>
        <c:axId val="363336888"/>
        <c:axId val="363335288"/>
      </c:barChart>
      <c:catAx>
        <c:axId val="363336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335288"/>
        <c:crosses val="autoZero"/>
        <c:auto val="1"/>
        <c:lblAlgn val="ctr"/>
        <c:lblOffset val="100"/>
        <c:tickMarkSkip val="1"/>
        <c:noMultiLvlLbl val="0"/>
      </c:catAx>
      <c:valAx>
        <c:axId val="3633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Average Power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336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verifyPoli!$B$6:$B$17</c:f>
              <c:numCache>
                <c:formatCode>General</c:formatCode>
                <c:ptCount val="12"/>
                <c:pt idx="0">
                  <c:v>31.549230838137198</c:v>
                </c:pt>
                <c:pt idx="1">
                  <c:v>173.72130825924299</c:v>
                </c:pt>
                <c:pt idx="2">
                  <c:v>405.54201380256598</c:v>
                </c:pt>
                <c:pt idx="3">
                  <c:v>755.31078566090002</c:v>
                </c:pt>
                <c:pt idx="4">
                  <c:v>1235.8171950999599</c:v>
                </c:pt>
                <c:pt idx="5">
                  <c:v>1750.04165670871</c:v>
                </c:pt>
                <c:pt idx="6">
                  <c:v>1859.2387525602401</c:v>
                </c:pt>
                <c:pt idx="7">
                  <c:v>2641.07892259858</c:v>
                </c:pt>
                <c:pt idx="8">
                  <c:v>3611.1735846562801</c:v>
                </c:pt>
                <c:pt idx="9">
                  <c:v>4113.2890603276601</c:v>
                </c:pt>
                <c:pt idx="10">
                  <c:v>4796.5967048233697</c:v>
                </c:pt>
                <c:pt idx="11">
                  <c:v>5327.3936239043396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27-4029-B064-304B259E37E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verifyPoli!$E$6:$E$17</c:f>
              <c:numCache>
                <c:formatCode>General</c:formatCode>
                <c:ptCount val="12"/>
                <c:pt idx="0">
                  <c:v>29.6841375041882</c:v>
                </c:pt>
                <c:pt idx="1">
                  <c:v>174.12721074507499</c:v>
                </c:pt>
                <c:pt idx="2">
                  <c:v>405.71279761903497</c:v>
                </c:pt>
                <c:pt idx="3">
                  <c:v>755.37289867353297</c:v>
                </c:pt>
                <c:pt idx="4">
                  <c:v>1235.9221663148801</c:v>
                </c:pt>
                <c:pt idx="5">
                  <c:v>1751.1557182854001</c:v>
                </c:pt>
                <c:pt idx="6">
                  <c:v>1860.60263994153</c:v>
                </c:pt>
                <c:pt idx="7">
                  <c:v>2643.13436556222</c:v>
                </c:pt>
                <c:pt idx="8">
                  <c:v>3614.6231210092901</c:v>
                </c:pt>
                <c:pt idx="9">
                  <c:v>4117.3215569040303</c:v>
                </c:pt>
                <c:pt idx="10">
                  <c:v>4799.0526816380398</c:v>
                </c:pt>
                <c:pt idx="11">
                  <c:v>5327.0492054420401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27-4029-B064-304B259E37E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verifyPoli!$H$6:$H$17</c:f>
              <c:numCache>
                <c:formatCode>General</c:formatCode>
                <c:ptCount val="12"/>
                <c:pt idx="0">
                  <c:v>27.456952567005899</c:v>
                </c:pt>
                <c:pt idx="1">
                  <c:v>174.55997337772601</c:v>
                </c:pt>
                <c:pt idx="2">
                  <c:v>406.77076010473598</c:v>
                </c:pt>
                <c:pt idx="3">
                  <c:v>756.90409432052797</c:v>
                </c:pt>
                <c:pt idx="4">
                  <c:v>1238.4127708779899</c:v>
                </c:pt>
                <c:pt idx="5">
                  <c:v>1754.3931237608299</c:v>
                </c:pt>
                <c:pt idx="6">
                  <c:v>1864.1741173741</c:v>
                </c:pt>
                <c:pt idx="7">
                  <c:v>2648.0262839665802</c:v>
                </c:pt>
                <c:pt idx="8">
                  <c:v>3621.7065962694201</c:v>
                </c:pt>
                <c:pt idx="9">
                  <c:v>4125.3859523928204</c:v>
                </c:pt>
                <c:pt idx="10">
                  <c:v>4805.7575783073298</c:v>
                </c:pt>
                <c:pt idx="11">
                  <c:v>5331.3860785175302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27-4029-B064-304B259E37E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verifyPoli!$L$6:$L$17</c:f>
              <c:numCache>
                <c:formatCode>General</c:formatCode>
                <c:ptCount val="12"/>
                <c:pt idx="0">
                  <c:v>30.4700429854893</c:v>
                </c:pt>
                <c:pt idx="1">
                  <c:v>175.01006813125599</c:v>
                </c:pt>
                <c:pt idx="2">
                  <c:v>412.92151668878398</c:v>
                </c:pt>
                <c:pt idx="3">
                  <c:v>762.29314700191605</c:v>
                </c:pt>
                <c:pt idx="4">
                  <c:v>1241.2137174145</c:v>
                </c:pt>
                <c:pt idx="5">
                  <c:v>1756.85586365414</c:v>
                </c:pt>
                <c:pt idx="6">
                  <c:v>1867.77198627037</c:v>
                </c:pt>
                <c:pt idx="7">
                  <c:v>2660.0567119133698</c:v>
                </c:pt>
                <c:pt idx="8">
                  <c:v>3636.1566526873498</c:v>
                </c:pt>
                <c:pt idx="9">
                  <c:v>4140.1908635233603</c:v>
                </c:pt>
                <c:pt idx="10">
                  <c:v>4814.1605669361597</c:v>
                </c:pt>
                <c:pt idx="11">
                  <c:v>5345.9471270776503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27-4029-B064-304B259E37E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verifyPoli!$O$6:$O$17</c:f>
              <c:numCache>
                <c:formatCode>General</c:formatCode>
                <c:ptCount val="12"/>
                <c:pt idx="0">
                  <c:v>28.184673424029299</c:v>
                </c:pt>
                <c:pt idx="1">
                  <c:v>175.44597144302199</c:v>
                </c:pt>
                <c:pt idx="2">
                  <c:v>416.04651777056898</c:v>
                </c:pt>
                <c:pt idx="3">
                  <c:v>768.07507075051296</c:v>
                </c:pt>
                <c:pt idx="4">
                  <c:v>1249.6203887267</c:v>
                </c:pt>
                <c:pt idx="5">
                  <c:v>1767.44245800001</c:v>
                </c:pt>
                <c:pt idx="6">
                  <c:v>1878.77123004297</c:v>
                </c:pt>
                <c:pt idx="7">
                  <c:v>2673.61635304316</c:v>
                </c:pt>
                <c:pt idx="8">
                  <c:v>3652.24451607113</c:v>
                </c:pt>
                <c:pt idx="9">
                  <c:v>4157.4059297940103</c:v>
                </c:pt>
                <c:pt idx="10">
                  <c:v>4832.7444774707101</c:v>
                </c:pt>
                <c:pt idx="11">
                  <c:v>5365.5204474436196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27-4029-B064-304B259E37E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verifyPoli!$R$6:$R$17</c:f>
              <c:numCache>
                <c:formatCode>General</c:formatCode>
                <c:ptCount val="12"/>
                <c:pt idx="0">
                  <c:v>25.899303862569202</c:v>
                </c:pt>
                <c:pt idx="1">
                  <c:v>175.88187475478799</c:v>
                </c:pt>
                <c:pt idx="2">
                  <c:v>419.17151885235501</c:v>
                </c:pt>
                <c:pt idx="3">
                  <c:v>773.85699449911101</c:v>
                </c:pt>
                <c:pt idx="4">
                  <c:v>1258.0270600388999</c:v>
                </c:pt>
                <c:pt idx="5">
                  <c:v>1778.02905234588</c:v>
                </c:pt>
                <c:pt idx="6">
                  <c:v>1889.7704738155701</c:v>
                </c:pt>
                <c:pt idx="7">
                  <c:v>2687.1759941729601</c:v>
                </c:pt>
                <c:pt idx="8">
                  <c:v>3668.3323794549101</c:v>
                </c:pt>
                <c:pt idx="9">
                  <c:v>4174.6209960646602</c:v>
                </c:pt>
                <c:pt idx="10">
                  <c:v>4851.3283880052704</c:v>
                </c:pt>
                <c:pt idx="11">
                  <c:v>5385.0937678095897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27-4029-B064-304B259E3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verifyPoli!$C$6:$C$17</c:f>
              <c:numCache>
                <c:formatCode>General</c:formatCode>
                <c:ptCount val="12"/>
                <c:pt idx="0">
                  <c:v>806.32080984560002</c:v>
                </c:pt>
                <c:pt idx="1">
                  <c:v>713.78891176323805</c:v>
                </c:pt>
                <c:pt idx="2">
                  <c:v>647.00487592793797</c:v>
                </c:pt>
                <c:pt idx="3">
                  <c:v>615.46351442301705</c:v>
                </c:pt>
                <c:pt idx="4">
                  <c:v>621.59906170346505</c:v>
                </c:pt>
                <c:pt idx="5">
                  <c:v>661.185863141087</c:v>
                </c:pt>
                <c:pt idx="6">
                  <c:v>667.96746455767698</c:v>
                </c:pt>
                <c:pt idx="7">
                  <c:v>732.67084086136799</c:v>
                </c:pt>
                <c:pt idx="8">
                  <c:v>817.63342498636905</c:v>
                </c:pt>
                <c:pt idx="9">
                  <c:v>857.06025420355002</c:v>
                </c:pt>
                <c:pt idx="10">
                  <c:v>914.32835531820604</c:v>
                </c:pt>
                <c:pt idx="11">
                  <c:v>947.49488845555595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2-41FE-B23A-6E6398A89EE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verifyPoli!$F$6:$F$17</c:f>
              <c:numCache>
                <c:formatCode>General</c:formatCode>
                <c:ptCount val="12"/>
                <c:pt idx="0">
                  <c:v>809.900346774068</c:v>
                </c:pt>
                <c:pt idx="1">
                  <c:v>722.40082366718605</c:v>
                </c:pt>
                <c:pt idx="2">
                  <c:v>662.99721680191999</c:v>
                </c:pt>
                <c:pt idx="3">
                  <c:v>648.31919592636996</c:v>
                </c:pt>
                <c:pt idx="4">
                  <c:v>676.32301881902799</c:v>
                </c:pt>
                <c:pt idx="5">
                  <c:v>736.97729795104203</c:v>
                </c:pt>
                <c:pt idx="6">
                  <c:v>748.907035326254</c:v>
                </c:pt>
                <c:pt idx="7">
                  <c:v>849.95693926603406</c:v>
                </c:pt>
                <c:pt idx="8">
                  <c:v>975.27508708992195</c:v>
                </c:pt>
                <c:pt idx="9">
                  <c:v>1034.81622747095</c:v>
                </c:pt>
                <c:pt idx="10">
                  <c:v>1105.4237106038699</c:v>
                </c:pt>
                <c:pt idx="11">
                  <c:v>1139.92647409604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12-41FE-B23A-6E6398A89EE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verifyPoli!$I$6:$I$17</c:f>
              <c:numCache>
                <c:formatCode>General</c:formatCode>
                <c:ptCount val="12"/>
                <c:pt idx="0">
                  <c:v>814.49477384530405</c:v>
                </c:pt>
                <c:pt idx="1">
                  <c:v>735.64425630622998</c:v>
                </c:pt>
                <c:pt idx="2">
                  <c:v>685.87303832720704</c:v>
                </c:pt>
                <c:pt idx="3">
                  <c:v>694.03648110821098</c:v>
                </c:pt>
                <c:pt idx="4">
                  <c:v>751.39497794093802</c:v>
                </c:pt>
                <c:pt idx="5">
                  <c:v>835.69507398218502</c:v>
                </c:pt>
                <c:pt idx="6">
                  <c:v>853.90239949641602</c:v>
                </c:pt>
                <c:pt idx="7">
                  <c:v>997.90798002692395</c:v>
                </c:pt>
                <c:pt idx="8">
                  <c:v>1169.54642498984</c:v>
                </c:pt>
                <c:pt idx="9">
                  <c:v>1251.0682890980599</c:v>
                </c:pt>
                <c:pt idx="10">
                  <c:v>1337.00057727382</c:v>
                </c:pt>
                <c:pt idx="11">
                  <c:v>1374.78349988171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12-41FE-B23A-6E6398A89EE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verifyPoli!$M$6:$M$17</c:f>
              <c:numCache>
                <c:formatCode>General</c:formatCode>
                <c:ptCount val="12"/>
                <c:pt idx="0">
                  <c:v>825.30161285013503</c:v>
                </c:pt>
                <c:pt idx="1">
                  <c:v>703.16797265105799</c:v>
                </c:pt>
                <c:pt idx="2">
                  <c:v>638.87221443493604</c:v>
                </c:pt>
                <c:pt idx="3">
                  <c:v>623.94503334092303</c:v>
                </c:pt>
                <c:pt idx="4">
                  <c:v>649.91712450817101</c:v>
                </c:pt>
                <c:pt idx="5">
                  <c:v>697.14463076484503</c:v>
                </c:pt>
                <c:pt idx="6">
                  <c:v>708.31918307583396</c:v>
                </c:pt>
                <c:pt idx="7">
                  <c:v>790.68190418306494</c:v>
                </c:pt>
                <c:pt idx="8">
                  <c:v>888.535982969016</c:v>
                </c:pt>
                <c:pt idx="9">
                  <c:v>935.36783345151503</c:v>
                </c:pt>
                <c:pt idx="10">
                  <c:v>993.41211457284203</c:v>
                </c:pt>
                <c:pt idx="11">
                  <c:v>1035.4316177145499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12-41FE-B23A-6E6398A89EE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verifyPoli!$P$6:$P$17</c:f>
              <c:numCache>
                <c:formatCode>General</c:formatCode>
                <c:ptCount val="12"/>
                <c:pt idx="0">
                  <c:v>825.87462210368301</c:v>
                </c:pt>
                <c:pt idx="1">
                  <c:v>715.80644742528204</c:v>
                </c:pt>
                <c:pt idx="2">
                  <c:v>668.247283183219</c:v>
                </c:pt>
                <c:pt idx="3">
                  <c:v>674.72782451664705</c:v>
                </c:pt>
                <c:pt idx="4">
                  <c:v>726.77876656471904</c:v>
                </c:pt>
                <c:pt idx="5">
                  <c:v>799.522355630059</c:v>
                </c:pt>
                <c:pt idx="6">
                  <c:v>815.93080446658905</c:v>
                </c:pt>
                <c:pt idx="7">
                  <c:v>933.714633361408</c:v>
                </c:pt>
                <c:pt idx="8">
                  <c:v>1071.6609483883301</c:v>
                </c:pt>
                <c:pt idx="9">
                  <c:v>1138.0582608371799</c:v>
                </c:pt>
                <c:pt idx="10">
                  <c:v>1221.30044468651</c:v>
                </c:pt>
                <c:pt idx="11">
                  <c:v>1282.5332096729001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12-41FE-B23A-6E6398A89EE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verifyPoli!$S$6:$S$17</c:f>
              <c:numCache>
                <c:formatCode>General</c:formatCode>
                <c:ptCount val="12"/>
                <c:pt idx="0">
                  <c:v>826.44763135723099</c:v>
                </c:pt>
                <c:pt idx="1">
                  <c:v>728.44492219950598</c:v>
                </c:pt>
                <c:pt idx="2">
                  <c:v>697.62235193150195</c:v>
                </c:pt>
                <c:pt idx="3">
                  <c:v>725.51061569237095</c:v>
                </c:pt>
                <c:pt idx="4">
                  <c:v>803.64040862126797</c:v>
                </c:pt>
                <c:pt idx="5">
                  <c:v>901.90008049527296</c:v>
                </c:pt>
                <c:pt idx="6">
                  <c:v>923.54242585734301</c:v>
                </c:pt>
                <c:pt idx="7">
                  <c:v>1076.7473625397499</c:v>
                </c:pt>
                <c:pt idx="8">
                  <c:v>1254.7859138076501</c:v>
                </c:pt>
                <c:pt idx="9">
                  <c:v>1340.74868822285</c:v>
                </c:pt>
                <c:pt idx="10">
                  <c:v>1449.18877480018</c:v>
                </c:pt>
                <c:pt idx="11">
                  <c:v>1529.63480163126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12-41FE-B23A-6E6398A8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verifyPoli!$D$6:$D$17</c:f>
              <c:numCache>
                <c:formatCode>General</c:formatCode>
                <c:ptCount val="12"/>
                <c:pt idx="0">
                  <c:v>1.11214988346286</c:v>
                </c:pt>
                <c:pt idx="1">
                  <c:v>0.98628736937109496</c:v>
                </c:pt>
                <c:pt idx="2">
                  <c:v>0.90690408902167896</c:v>
                </c:pt>
                <c:pt idx="3">
                  <c:v>0.85005716732232095</c:v>
                </c:pt>
                <c:pt idx="4">
                  <c:v>0.80428510505420003</c:v>
                </c:pt>
                <c:pt idx="5">
                  <c:v>0.77163020643470903</c:v>
                </c:pt>
                <c:pt idx="6">
                  <c:v>0.77110705568134397</c:v>
                </c:pt>
                <c:pt idx="7">
                  <c:v>0.76931524849970601</c:v>
                </c:pt>
                <c:pt idx="8">
                  <c:v>0.766604656462478</c:v>
                </c:pt>
                <c:pt idx="9">
                  <c:v>0.76496343205495698</c:v>
                </c:pt>
                <c:pt idx="10">
                  <c:v>0.74529051138044</c:v>
                </c:pt>
                <c:pt idx="11">
                  <c:v>0.73115127500628097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D-4B02-9538-ECA66ACA122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verifyPoli!$G$6:$G$17</c:f>
              <c:numCache>
                <c:formatCode>General</c:formatCode>
                <c:ptCount val="12"/>
                <c:pt idx="0">
                  <c:v>1.1147613885112899</c:v>
                </c:pt>
                <c:pt idx="1">
                  <c:v>0.98871722899712</c:v>
                </c:pt>
                <c:pt idx="2">
                  <c:v>0.90915697430276399</c:v>
                </c:pt>
                <c:pt idx="3">
                  <c:v>0.85164889970038804</c:v>
                </c:pt>
                <c:pt idx="4">
                  <c:v>0.80552884595118901</c:v>
                </c:pt>
                <c:pt idx="5">
                  <c:v>0.77301684711956598</c:v>
                </c:pt>
                <c:pt idx="6">
                  <c:v>0.77251044582478601</c:v>
                </c:pt>
                <c:pt idx="7">
                  <c:v>0.77053014342931403</c:v>
                </c:pt>
                <c:pt idx="8">
                  <c:v>0.76783174998961701</c:v>
                </c:pt>
                <c:pt idx="9">
                  <c:v>0.76615674654020705</c:v>
                </c:pt>
                <c:pt idx="10">
                  <c:v>0.74621294417142203</c:v>
                </c:pt>
                <c:pt idx="11">
                  <c:v>0.73177218162651403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D-4B02-9538-ECA66ACA122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verifyPoli!$J$6:$J$17</c:f>
              <c:numCache>
                <c:formatCode>General</c:formatCode>
                <c:ptCount val="12"/>
                <c:pt idx="0">
                  <c:v>1.11794826225293</c:v>
                </c:pt>
                <c:pt idx="1">
                  <c:v>0.99209620604398996</c:v>
                </c:pt>
                <c:pt idx="2">
                  <c:v>0.91220101238397699</c:v>
                </c:pt>
                <c:pt idx="3">
                  <c:v>0.85382927738603498</c:v>
                </c:pt>
                <c:pt idx="4">
                  <c:v>0.80738682545164897</c:v>
                </c:pt>
                <c:pt idx="5">
                  <c:v>0.77472591656962497</c:v>
                </c:pt>
                <c:pt idx="6">
                  <c:v>0.77422469768903701</c:v>
                </c:pt>
                <c:pt idx="7">
                  <c:v>0.77207115742542398</c:v>
                </c:pt>
                <c:pt idx="8">
                  <c:v>0.76939282070950299</c:v>
                </c:pt>
                <c:pt idx="9">
                  <c:v>0.76769404192719104</c:v>
                </c:pt>
                <c:pt idx="10">
                  <c:v>0.747403193906373</c:v>
                </c:pt>
                <c:pt idx="11">
                  <c:v>0.73262692098478899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7D-4B02-9538-ECA66ACA122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verifyPoli!$N$6:$N$17</c:f>
              <c:numCache>
                <c:formatCode>General</c:formatCode>
                <c:ptCount val="12"/>
                <c:pt idx="0">
                  <c:v>1.11414821113035</c:v>
                </c:pt>
                <c:pt idx="1">
                  <c:v>0.99102631401959096</c:v>
                </c:pt>
                <c:pt idx="2">
                  <c:v>0.90236688751309901</c:v>
                </c:pt>
                <c:pt idx="3">
                  <c:v>0.84196411012810801</c:v>
                </c:pt>
                <c:pt idx="4">
                  <c:v>0.80361216038184902</c:v>
                </c:pt>
                <c:pt idx="5">
                  <c:v>0.78389732249055699</c:v>
                </c:pt>
                <c:pt idx="6">
                  <c:v>0.78110521679155698</c:v>
                </c:pt>
                <c:pt idx="7">
                  <c:v>0.76823745787446496</c:v>
                </c:pt>
                <c:pt idx="8">
                  <c:v>0.75880306214780502</c:v>
                </c:pt>
                <c:pt idx="9">
                  <c:v>0.75402425525037198</c:v>
                </c:pt>
                <c:pt idx="10">
                  <c:v>0.74659620812881</c:v>
                </c:pt>
                <c:pt idx="11">
                  <c:v>0.73954707418721999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D-4B02-9538-ECA66ACA122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verifyPoli!$Q$6:$Q$17</c:f>
              <c:numCache>
                <c:formatCode>General</c:formatCode>
                <c:ptCount val="12"/>
                <c:pt idx="0">
                  <c:v>1.11812394184467</c:v>
                </c:pt>
                <c:pt idx="1">
                  <c:v>0.99443960027638301</c:v>
                </c:pt>
                <c:pt idx="2">
                  <c:v>0.90527766816105604</c:v>
                </c:pt>
                <c:pt idx="3">
                  <c:v>0.84443232401592205</c:v>
                </c:pt>
                <c:pt idx="4">
                  <c:v>0.80569774635821401</c:v>
                </c:pt>
                <c:pt idx="5">
                  <c:v>0.78570782176357401</c:v>
                </c:pt>
                <c:pt idx="6">
                  <c:v>0.78286811370516596</c:v>
                </c:pt>
                <c:pt idx="7">
                  <c:v>0.76973760457400997</c:v>
                </c:pt>
                <c:pt idx="8">
                  <c:v>0.760100397481979</c:v>
                </c:pt>
                <c:pt idx="9">
                  <c:v>0.75524988051951603</c:v>
                </c:pt>
                <c:pt idx="10">
                  <c:v>0.74775067094630698</c:v>
                </c:pt>
                <c:pt idx="11">
                  <c:v>0.74066117087567995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7D-4B02-9538-ECA66ACA122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verifyPoli!$T$6:$T$17</c:f>
              <c:numCache>
                <c:formatCode>General</c:formatCode>
                <c:ptCount val="12"/>
                <c:pt idx="0">
                  <c:v>1.12209967255899</c:v>
                </c:pt>
                <c:pt idx="1">
                  <c:v>0.99785288653317505</c:v>
                </c:pt>
                <c:pt idx="2">
                  <c:v>0.90818844880901195</c:v>
                </c:pt>
                <c:pt idx="3">
                  <c:v>0.84690053790373598</c:v>
                </c:pt>
                <c:pt idx="4">
                  <c:v>0.807783332334579</c:v>
                </c:pt>
                <c:pt idx="5">
                  <c:v>0.78751832103659103</c:v>
                </c:pt>
                <c:pt idx="6">
                  <c:v>0.78463101061877405</c:v>
                </c:pt>
                <c:pt idx="7">
                  <c:v>0.77123775127355498</c:v>
                </c:pt>
                <c:pt idx="8">
                  <c:v>0.76139773281615397</c:v>
                </c:pt>
                <c:pt idx="9">
                  <c:v>0.75647550578865996</c:v>
                </c:pt>
                <c:pt idx="10">
                  <c:v>0.74890513376380397</c:v>
                </c:pt>
                <c:pt idx="11">
                  <c:v>0.74177526756413903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D-4B02-9538-ECA66ACA1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verifyPoli!$B$22:$B$32</c:f>
              <c:numCache>
                <c:formatCode>General</c:formatCode>
                <c:ptCount val="11"/>
                <c:pt idx="0">
                  <c:v>176.77150453280001</c:v>
                </c:pt>
                <c:pt idx="1">
                  <c:v>400.71685132553699</c:v>
                </c:pt>
                <c:pt idx="2">
                  <c:v>725.70236055302996</c:v>
                </c:pt>
                <c:pt idx="3">
                  <c:v>1156.3405118195001</c:v>
                </c:pt>
                <c:pt idx="4">
                  <c:v>1623.35507259818</c:v>
                </c:pt>
                <c:pt idx="5">
                  <c:v>1727.25486340316</c:v>
                </c:pt>
                <c:pt idx="6">
                  <c:v>2453.9794890968201</c:v>
                </c:pt>
                <c:pt idx="7">
                  <c:v>3350.9058597665598</c:v>
                </c:pt>
                <c:pt idx="8">
                  <c:v>3809.9292654087399</c:v>
                </c:pt>
                <c:pt idx="9">
                  <c:v>4406.31231829424</c:v>
                </c:pt>
                <c:pt idx="10">
                  <c:v>4873.6433672509802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22-4031-AAEA-893D5943F6E8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verifyPoli!$E$22:$E$32</c:f>
              <c:numCache>
                <c:formatCode>General</c:formatCode>
                <c:ptCount val="11"/>
                <c:pt idx="0">
                  <c:v>176.90318547075699</c:v>
                </c:pt>
                <c:pt idx="1">
                  <c:v>400.84738672058899</c:v>
                </c:pt>
                <c:pt idx="2">
                  <c:v>722.25924300261602</c:v>
                </c:pt>
                <c:pt idx="3">
                  <c:v>1156.11611266618</c:v>
                </c:pt>
                <c:pt idx="4">
                  <c:v>1620.62989323643</c:v>
                </c:pt>
                <c:pt idx="5">
                  <c:v>1725.2251219765601</c:v>
                </c:pt>
                <c:pt idx="6" formatCode="0.00">
                  <c:v>2442.4414866573302</c:v>
                </c:pt>
                <c:pt idx="7">
                  <c:v>3358.6359299785399</c:v>
                </c:pt>
                <c:pt idx="8">
                  <c:v>3807.1947612576901</c:v>
                </c:pt>
                <c:pt idx="9">
                  <c:v>4411.57901423765</c:v>
                </c:pt>
                <c:pt idx="10">
                  <c:v>4889.9743823408598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22-4031-AAEA-893D5943F6E8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verifyPoli!$H$21:$H$32</c:f>
              <c:numCache>
                <c:formatCode>General</c:formatCode>
                <c:ptCount val="12"/>
                <c:pt idx="0">
                  <c:v>30.575836026491402</c:v>
                </c:pt>
                <c:pt idx="1">
                  <c:v>175.77338574460501</c:v>
                </c:pt>
                <c:pt idx="2">
                  <c:v>402.882043689672</c:v>
                </c:pt>
                <c:pt idx="3">
                  <c:v>726.39457895893702</c:v>
                </c:pt>
                <c:pt idx="4">
                  <c:v>1158.0382147904299</c:v>
                </c:pt>
                <c:pt idx="5">
                  <c:v>1621.51606078912</c:v>
                </c:pt>
                <c:pt idx="6">
                  <c:v>1724.43167171561</c:v>
                </c:pt>
                <c:pt idx="7">
                  <c:v>2458.29578980008</c:v>
                </c:pt>
                <c:pt idx="8">
                  <c:v>3359.8816349712802</c:v>
                </c:pt>
                <c:pt idx="9">
                  <c:v>3818.1602089427602</c:v>
                </c:pt>
                <c:pt idx="10">
                  <c:v>4425.2106991077499</c:v>
                </c:pt>
                <c:pt idx="11">
                  <c:v>4898.30753810653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22-4031-AAEA-893D5943F6E8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verifyPoli!$L$22:$L$32</c:f>
              <c:numCache>
                <c:formatCode>General</c:formatCode>
                <c:ptCount val="11"/>
                <c:pt idx="0">
                  <c:v>177.80563192530701</c:v>
                </c:pt>
                <c:pt idx="1">
                  <c:v>402.14431192913798</c:v>
                </c:pt>
                <c:pt idx="2">
                  <c:v>725.98379631410296</c:v>
                </c:pt>
                <c:pt idx="3">
                  <c:v>1166.4004629032199</c:v>
                </c:pt>
                <c:pt idx="4">
                  <c:v>1638.93411403871</c:v>
                </c:pt>
                <c:pt idx="5">
                  <c:v>1740.4706895195</c:v>
                </c:pt>
                <c:pt idx="6">
                  <c:v>2465.27085398596</c:v>
                </c:pt>
                <c:pt idx="7">
                  <c:v>3357.8773341256101</c:v>
                </c:pt>
                <c:pt idx="8">
                  <c:v>3818.8468480930501</c:v>
                </c:pt>
                <c:pt idx="9">
                  <c:v>4435.3665077614696</c:v>
                </c:pt>
                <c:pt idx="10">
                  <c:v>4921.9544400271097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22-4031-AAEA-893D5943F6E8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verifyPoli!$O$22:$O$32</c:f>
              <c:numCache>
                <c:formatCode>General</c:formatCode>
                <c:ptCount val="11"/>
                <c:pt idx="0">
                  <c:v>177.72325560438401</c:v>
                </c:pt>
                <c:pt idx="1">
                  <c:v>403.81123535391202</c:v>
                </c:pt>
                <c:pt idx="2">
                  <c:v>729.85400705665802</c:v>
                </c:pt>
                <c:pt idx="3">
                  <c:v>1172.9279485356401</c:v>
                </c:pt>
                <c:pt idx="4">
                  <c:v>1648.04455217432</c:v>
                </c:pt>
                <c:pt idx="5">
                  <c:v>1750.1094376138601</c:v>
                </c:pt>
                <c:pt idx="6" formatCode="0.00">
                  <c:v>2478.4748521143501</c:v>
                </c:pt>
                <c:pt idx="7">
                  <c:v>3375.1005698601198</c:v>
                </c:pt>
                <c:pt idx="8">
                  <c:v>3838.0268541957098</c:v>
                </c:pt>
                <c:pt idx="9">
                  <c:v>4457.0629686741804</c:v>
                </c:pt>
                <c:pt idx="10">
                  <c:v>4945.5673075312798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22-4031-AAEA-893D5943F6E8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verifyPoli!$R$21:$R$32</c:f>
              <c:numCache>
                <c:formatCode>General</c:formatCode>
                <c:ptCount val="12"/>
                <c:pt idx="0">
                  <c:v>33.136001490524201</c:v>
                </c:pt>
                <c:pt idx="1">
                  <c:v>177.640879283461</c:v>
                </c:pt>
                <c:pt idx="2">
                  <c:v>405.47815877868601</c:v>
                </c:pt>
                <c:pt idx="3">
                  <c:v>733.72421779921206</c:v>
                </c:pt>
                <c:pt idx="4">
                  <c:v>1179.45543416806</c:v>
                </c:pt>
                <c:pt idx="5">
                  <c:v>1657.1549903099401</c:v>
                </c:pt>
                <c:pt idx="6">
                  <c:v>1759.74818570823</c:v>
                </c:pt>
                <c:pt idx="7">
                  <c:v>2491.6788502427498</c:v>
                </c:pt>
                <c:pt idx="8">
                  <c:v>3392.3238055946299</c:v>
                </c:pt>
                <c:pt idx="9">
                  <c:v>3857.20686029836</c:v>
                </c:pt>
                <c:pt idx="10">
                  <c:v>4478.7594295868903</c:v>
                </c:pt>
                <c:pt idx="11">
                  <c:v>4969.1801750354498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22-4031-AAEA-893D5943F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verifyPoli!$C$22:$C$32</c:f>
              <c:numCache>
                <c:formatCode>General</c:formatCode>
                <c:ptCount val="11"/>
                <c:pt idx="0">
                  <c:v>787.13501612997004</c:v>
                </c:pt>
                <c:pt idx="1">
                  <c:v>713.05160163162304</c:v>
                </c:pt>
                <c:pt idx="2">
                  <c:v>665.65585870928396</c:v>
                </c:pt>
                <c:pt idx="3">
                  <c:v>650.91264999559303</c:v>
                </c:pt>
                <c:pt idx="4">
                  <c:v>674.47404086098902</c:v>
                </c:pt>
                <c:pt idx="5">
                  <c:v>678.37363433378596</c:v>
                </c:pt>
                <c:pt idx="6">
                  <c:v>724.81675078440298</c:v>
                </c:pt>
                <c:pt idx="7">
                  <c:v>796.53916485596994</c:v>
                </c:pt>
                <c:pt idx="8">
                  <c:v>830.59058839416105</c:v>
                </c:pt>
                <c:pt idx="9">
                  <c:v>881.76980944440504</c:v>
                </c:pt>
                <c:pt idx="10">
                  <c:v>916.42993496428403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2-4D83-B085-47E438938649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verifyPoli!$F$22:$F$32</c:f>
              <c:numCache>
                <c:formatCode>General</c:formatCode>
                <c:ptCount val="11"/>
                <c:pt idx="0">
                  <c:v>792.00921985616503</c:v>
                </c:pt>
                <c:pt idx="1">
                  <c:v>724.35982241554996</c:v>
                </c:pt>
                <c:pt idx="2">
                  <c:v>689.48084504961105</c:v>
                </c:pt>
                <c:pt idx="3">
                  <c:v>692.13162303195895</c:v>
                </c:pt>
                <c:pt idx="4">
                  <c:v>733.44392159705706</c:v>
                </c:pt>
                <c:pt idx="5">
                  <c:v>741.91600500359402</c:v>
                </c:pt>
                <c:pt idx="6">
                  <c:v>821.47290562890305</c:v>
                </c:pt>
                <c:pt idx="7">
                  <c:v>930.59549948783297</c:v>
                </c:pt>
                <c:pt idx="8">
                  <c:v>984.29940123848905</c:v>
                </c:pt>
                <c:pt idx="9">
                  <c:v>1052.8998073534101</c:v>
                </c:pt>
                <c:pt idx="10">
                  <c:v>1093.1056549990999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2-4D83-B085-47E438938649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verifyPoli!$I$21:$I$32</c:f>
              <c:numCache>
                <c:formatCode>General</c:formatCode>
                <c:ptCount val="12"/>
                <c:pt idx="0">
                  <c:v>880.43686870834495</c:v>
                </c:pt>
                <c:pt idx="1">
                  <c:v>800.63530703482502</c:v>
                </c:pt>
                <c:pt idx="2">
                  <c:v>740.31911065018301</c:v>
                </c:pt>
                <c:pt idx="3">
                  <c:v>722.58173532614796</c:v>
                </c:pt>
                <c:pt idx="4">
                  <c:v>749.71018949085601</c:v>
                </c:pt>
                <c:pt idx="5">
                  <c:v>813.91107076054595</c:v>
                </c:pt>
                <c:pt idx="6">
                  <c:v>828.33809582650701</c:v>
                </c:pt>
                <c:pt idx="7">
                  <c:v>948.66023786387905</c:v>
                </c:pt>
                <c:pt idx="8">
                  <c:v>1102.8604494499</c:v>
                </c:pt>
                <c:pt idx="9">
                  <c:v>1178.9198817526101</c:v>
                </c:pt>
                <c:pt idx="10">
                  <c:v>1267.1456274965201</c:v>
                </c:pt>
                <c:pt idx="11">
                  <c:v>1314.29024943483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72-4D83-B085-47E438938649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verifyPoli!$M$22:$M$32</c:f>
              <c:numCache>
                <c:formatCode>General</c:formatCode>
                <c:ptCount val="11"/>
                <c:pt idx="0">
                  <c:v>780.148474098169</c:v>
                </c:pt>
                <c:pt idx="1">
                  <c:v>705.74621663434698</c:v>
                </c:pt>
                <c:pt idx="2">
                  <c:v>671.94936825949605</c:v>
                </c:pt>
                <c:pt idx="3">
                  <c:v>674.22275247926405</c:v>
                </c:pt>
                <c:pt idx="4">
                  <c:v>700.68960841254398</c:v>
                </c:pt>
                <c:pt idx="5">
                  <c:v>708.03119279929604</c:v>
                </c:pt>
                <c:pt idx="6">
                  <c:v>768.83951272524098</c:v>
                </c:pt>
                <c:pt idx="7">
                  <c:v>852.11253576274805</c:v>
                </c:pt>
                <c:pt idx="8">
                  <c:v>895.70616443255801</c:v>
                </c:pt>
                <c:pt idx="9">
                  <c:v>953.31508541746098</c:v>
                </c:pt>
                <c:pt idx="10">
                  <c:v>997.80049319743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72-4D83-B085-47E438938649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verifyPoli!$P$22:$P$32</c:f>
              <c:numCache>
                <c:formatCode>General</c:formatCode>
                <c:ptCount val="11"/>
                <c:pt idx="0">
                  <c:v>785.25018372940201</c:v>
                </c:pt>
                <c:pt idx="1">
                  <c:v>724.13115926147304</c:v>
                </c:pt>
                <c:pt idx="2">
                  <c:v>709.00768326535001</c:v>
                </c:pt>
                <c:pt idx="3">
                  <c:v>735.344579246683</c:v>
                </c:pt>
                <c:pt idx="4">
                  <c:v>786.19028477473603</c:v>
                </c:pt>
                <c:pt idx="5">
                  <c:v>798.60667071111902</c:v>
                </c:pt>
                <c:pt idx="6">
                  <c:v>894.25878116430397</c:v>
                </c:pt>
                <c:pt idx="7">
                  <c:v>1017.76573411189</c:v>
                </c:pt>
                <c:pt idx="8">
                  <c:v>1081.2231642148799</c:v>
                </c:pt>
                <c:pt idx="9">
                  <c:v>1164.5923530595101</c:v>
                </c:pt>
                <c:pt idx="10">
                  <c:v>1228.83662758384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72-4D83-B085-47E438938649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verifyPoli!$S$21:$S$32</c:f>
              <c:numCache>
                <c:formatCode>General</c:formatCode>
                <c:ptCount val="12"/>
                <c:pt idx="0">
                  <c:v>894.10854918167104</c:v>
                </c:pt>
                <c:pt idx="1">
                  <c:v>790.35189336063604</c:v>
                </c:pt>
                <c:pt idx="2">
                  <c:v>742.51610188859695</c:v>
                </c:pt>
                <c:pt idx="3">
                  <c:v>746.06599827120397</c:v>
                </c:pt>
                <c:pt idx="4">
                  <c:v>796.46640601410297</c:v>
                </c:pt>
                <c:pt idx="5">
                  <c:v>871.69096113692694</c:v>
                </c:pt>
                <c:pt idx="6">
                  <c:v>889.18214862294099</c:v>
                </c:pt>
                <c:pt idx="7">
                  <c:v>1019.67804960337</c:v>
                </c:pt>
                <c:pt idx="8">
                  <c:v>1183.41893246103</c:v>
                </c:pt>
                <c:pt idx="9">
                  <c:v>1266.7401639972099</c:v>
                </c:pt>
                <c:pt idx="10">
                  <c:v>1375.8696207015701</c:v>
                </c:pt>
                <c:pt idx="11">
                  <c:v>1459.8727619702599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72-4D83-B085-47E438938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verifyPoli!$D$22:$D$32</c:f>
              <c:numCache>
                <c:formatCode>General</c:formatCode>
                <c:ptCount val="11"/>
                <c:pt idx="0">
                  <c:v>0.71388573414198297</c:v>
                </c:pt>
                <c:pt idx="1">
                  <c:v>0.69780914058288501</c:v>
                </c:pt>
                <c:pt idx="2">
                  <c:v>0.67500190493092405</c:v>
                </c:pt>
                <c:pt idx="3">
                  <c:v>0.647495567322801</c:v>
                </c:pt>
                <c:pt idx="4">
                  <c:v>0.63083505288636998</c:v>
                </c:pt>
                <c:pt idx="5">
                  <c:v>0.63130986790771004</c:v>
                </c:pt>
                <c:pt idx="6">
                  <c:v>0.629531505240984</c:v>
                </c:pt>
                <c:pt idx="7">
                  <c:v>0.62644365772376698</c:v>
                </c:pt>
                <c:pt idx="8">
                  <c:v>0.62392599004358196</c:v>
                </c:pt>
                <c:pt idx="9">
                  <c:v>0.61087953318597898</c:v>
                </c:pt>
                <c:pt idx="10">
                  <c:v>0.60181438781371199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383-B01A-6566A0B62A73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verifyPoli!$G$22:$G$32</c:f>
              <c:numCache>
                <c:formatCode>General</c:formatCode>
                <c:ptCount val="11"/>
                <c:pt idx="0">
                  <c:v>0.71926454192070099</c:v>
                </c:pt>
                <c:pt idx="1">
                  <c:v>0.69942980131704902</c:v>
                </c:pt>
                <c:pt idx="2">
                  <c:v>0.67348483730369002</c:v>
                </c:pt>
                <c:pt idx="3">
                  <c:v>0.64823941624098103</c:v>
                </c:pt>
                <c:pt idx="4">
                  <c:v>0.63027431074208795</c:v>
                </c:pt>
                <c:pt idx="5">
                  <c:v>0.63118707409957298</c:v>
                </c:pt>
                <c:pt idx="6">
                  <c:v>0.62717954774444595</c:v>
                </c:pt>
                <c:pt idx="7">
                  <c:v>0.62782606942775798</c:v>
                </c:pt>
                <c:pt idx="8">
                  <c:v>0.62373659465106202</c:v>
                </c:pt>
                <c:pt idx="9">
                  <c:v>0.61149768182825004</c:v>
                </c:pt>
                <c:pt idx="10">
                  <c:v>0.60356583539545094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383-B01A-6566A0B62A73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verifyPoli!$J$21:$J$32</c:f>
              <c:numCache>
                <c:formatCode>General</c:formatCode>
                <c:ptCount val="12"/>
                <c:pt idx="0">
                  <c:v>0.71090680388438499</c:v>
                </c:pt>
                <c:pt idx="1">
                  <c:v>0.71684324246126896</c:v>
                </c:pt>
                <c:pt idx="2">
                  <c:v>0.70282487076144096</c:v>
                </c:pt>
                <c:pt idx="3">
                  <c:v>0.67673963366346601</c:v>
                </c:pt>
                <c:pt idx="4">
                  <c:v>0.64921165895062904</c:v>
                </c:pt>
                <c:pt idx="5">
                  <c:v>0.63044096392610305</c:v>
                </c:pt>
                <c:pt idx="6">
                  <c:v>0.63062858235165098</c:v>
                </c:pt>
                <c:pt idx="7">
                  <c:v>0.63051477993698701</c:v>
                </c:pt>
                <c:pt idx="8">
                  <c:v>0.62759345367496</c:v>
                </c:pt>
                <c:pt idx="9">
                  <c:v>0.62490475482778896</c:v>
                </c:pt>
                <c:pt idx="10">
                  <c:v>0.61257763782007302</c:v>
                </c:pt>
                <c:pt idx="11">
                  <c:v>0.60375951511530901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383-B01A-6566A0B62A73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verifyPoli!$N$22:$N$32</c:f>
              <c:numCache>
                <c:formatCode>General</c:formatCode>
                <c:ptCount val="11"/>
                <c:pt idx="0">
                  <c:v>0.70840355356234097</c:v>
                </c:pt>
                <c:pt idx="1">
                  <c:v>0.69179921623726404</c:v>
                </c:pt>
                <c:pt idx="2">
                  <c:v>0.67325227011894195</c:v>
                </c:pt>
                <c:pt idx="3">
                  <c:v>0.65453096290609203</c:v>
                </c:pt>
                <c:pt idx="4">
                  <c:v>0.63996394031786397</c:v>
                </c:pt>
                <c:pt idx="5">
                  <c:v>0.63740354229742902</c:v>
                </c:pt>
                <c:pt idx="6">
                  <c:v>0.623638255991671</c:v>
                </c:pt>
                <c:pt idx="7">
                  <c:v>0.61500335168753495</c:v>
                </c:pt>
                <c:pt idx="8">
                  <c:v>0.61326255937492902</c:v>
                </c:pt>
                <c:pt idx="9">
                  <c:v>0.61326707708373596</c:v>
                </c:pt>
                <c:pt idx="10">
                  <c:v>0.61490027104282396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383-B01A-6566A0B62A73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verifyPoli!$Q$22:$Q$32</c:f>
              <c:numCache>
                <c:formatCode>General</c:formatCode>
                <c:ptCount val="11"/>
                <c:pt idx="0">
                  <c:v>0.708333932537075</c:v>
                </c:pt>
                <c:pt idx="1">
                  <c:v>0.69229806243879299</c:v>
                </c:pt>
                <c:pt idx="2">
                  <c:v>0.67414781889175501</c:v>
                </c:pt>
                <c:pt idx="3">
                  <c:v>0.65565144959467603</c:v>
                </c:pt>
                <c:pt idx="4">
                  <c:v>0.64114063512991704</c:v>
                </c:pt>
                <c:pt idx="5">
                  <c:v>0.63857720224627401</c:v>
                </c:pt>
                <c:pt idx="6">
                  <c:v>0.62469332454526605</c:v>
                </c:pt>
                <c:pt idx="7">
                  <c:v>0.615768064190367</c:v>
                </c:pt>
                <c:pt idx="8">
                  <c:v>0.61384057343605802</c:v>
                </c:pt>
                <c:pt idx="9">
                  <c:v>0.61356966888029596</c:v>
                </c:pt>
                <c:pt idx="10">
                  <c:v>0.61496992045333099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383-B01A-6566A0B62A73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verifyPoli!$T$21:$T$32</c:f>
              <c:numCache>
                <c:formatCode>General</c:formatCode>
                <c:ptCount val="12"/>
                <c:pt idx="0">
                  <c:v>0.71967732858031097</c:v>
                </c:pt>
                <c:pt idx="1">
                  <c:v>0.70826431151180902</c:v>
                </c:pt>
                <c:pt idx="2">
                  <c:v>0.69279690864032195</c:v>
                </c:pt>
                <c:pt idx="3">
                  <c:v>0.67504336766456696</c:v>
                </c:pt>
                <c:pt idx="4">
                  <c:v>0.65677193628326003</c:v>
                </c:pt>
                <c:pt idx="5">
                  <c:v>0.64231732994197099</c:v>
                </c:pt>
                <c:pt idx="6">
                  <c:v>0.63975086219511901</c:v>
                </c:pt>
                <c:pt idx="7">
                  <c:v>0.62574839309885999</c:v>
                </c:pt>
                <c:pt idx="8">
                  <c:v>0.61653277669319995</c:v>
                </c:pt>
                <c:pt idx="9">
                  <c:v>0.61441858749718803</c:v>
                </c:pt>
                <c:pt idx="10">
                  <c:v>0.61387226067685496</c:v>
                </c:pt>
                <c:pt idx="11">
                  <c:v>0.61503956986383801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383-B01A-6566A0B6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verifyPoli!$B$39:$B$47</c:f>
              <c:numCache>
                <c:formatCode>General</c:formatCode>
                <c:ptCount val="9"/>
                <c:pt idx="0">
                  <c:v>546.13959465477706</c:v>
                </c:pt>
                <c:pt idx="1">
                  <c:v>921.47860638444297</c:v>
                </c:pt>
                <c:pt idx="2">
                  <c:v>1305.94008571925</c:v>
                </c:pt>
                <c:pt idx="3">
                  <c:v>0</c:v>
                </c:pt>
                <c:pt idx="4">
                  <c:v>1984.44874260248</c:v>
                </c:pt>
                <c:pt idx="5">
                  <c:v>2696.8137133867299</c:v>
                </c:pt>
                <c:pt idx="6">
                  <c:v>3079.7749618271901</c:v>
                </c:pt>
                <c:pt idx="7">
                  <c:v>3601.1284326442001</c:v>
                </c:pt>
                <c:pt idx="8">
                  <c:v>4017.71455609961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D-43F8-BC09-BF7A7DF5C317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verifyPoli!$E$41:$E$47</c:f>
              <c:numCache>
                <c:formatCode>General</c:formatCode>
                <c:ptCount val="7"/>
                <c:pt idx="0">
                  <c:v>1316.5046686276801</c:v>
                </c:pt>
                <c:pt idx="1">
                  <c:v>1394.59030262075</c:v>
                </c:pt>
                <c:pt idx="2">
                  <c:v>1978.6652777950301</c:v>
                </c:pt>
                <c:pt idx="3">
                  <c:v>2721.6749159330898</c:v>
                </c:pt>
                <c:pt idx="4">
                  <c:v>3081.8192937232802</c:v>
                </c:pt>
                <c:pt idx="5">
                  <c:v>3605.19057813577</c:v>
                </c:pt>
                <c:pt idx="6">
                  <c:v>4029.4785040280799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4D-43F8-BC09-BF7A7DF5C317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verifyPoli!$H$41:$H$47</c:f>
              <c:numCache>
                <c:formatCode>General</c:formatCode>
                <c:ptCount val="7"/>
                <c:pt idx="0">
                  <c:v>1325.41095666458</c:v>
                </c:pt>
                <c:pt idx="1">
                  <c:v>1404.76674994427</c:v>
                </c:pt>
                <c:pt idx="2">
                  <c:v>1988.69568061732</c:v>
                </c:pt>
                <c:pt idx="3">
                  <c:v>2708.7842555012699</c:v>
                </c:pt>
                <c:pt idx="4">
                  <c:v>3111.8690900737001</c:v>
                </c:pt>
                <c:pt idx="5">
                  <c:v>3626.8448761842201</c:v>
                </c:pt>
                <c:pt idx="6">
                  <c:v>4076.3372595504902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D-43F8-BC09-BF7A7DF5C317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verifyPoli!$L$39:$L$47</c:f>
              <c:numCache>
                <c:formatCode>General</c:formatCode>
                <c:ptCount val="9"/>
                <c:pt idx="0">
                  <c:v>542.97273045320605</c:v>
                </c:pt>
                <c:pt idx="1">
                  <c:v>935.38851030200703</c:v>
                </c:pt>
                <c:pt idx="2">
                  <c:v>1325.3713084456001</c:v>
                </c:pt>
                <c:pt idx="3">
                  <c:v>1407.61169182147</c:v>
                </c:pt>
                <c:pt idx="4">
                  <c:v>1991.7079034202</c:v>
                </c:pt>
                <c:pt idx="5">
                  <c:v>2719.7427735067999</c:v>
                </c:pt>
                <c:pt idx="6">
                  <c:v>3102.8619382465399</c:v>
                </c:pt>
                <c:pt idx="7">
                  <c:v>3623.7819304898499</c:v>
                </c:pt>
                <c:pt idx="8">
                  <c:v>4041.8614943776001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D-43F8-BC09-BF7A7DF5C317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verifyPoli!$O$41:$O$47</c:f>
              <c:numCache>
                <c:formatCode>General</c:formatCode>
                <c:ptCount val="7"/>
                <c:pt idx="0">
                  <c:v>1328.92674706194</c:v>
                </c:pt>
                <c:pt idx="1">
                  <c:v>1411.5586272595799</c:v>
                </c:pt>
                <c:pt idx="2">
                  <c:v>1999.5889810016699</c:v>
                </c:pt>
                <c:pt idx="3">
                  <c:v>2734.12228117528</c:v>
                </c:pt>
                <c:pt idx="4">
                  <c:v>3121.00233839579</c:v>
                </c:pt>
                <c:pt idx="5">
                  <c:v>3647.22415618899</c:v>
                </c:pt>
                <c:pt idx="6">
                  <c:v>4069.6468079132301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4D-43F8-BC09-BF7A7DF5C317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verifyPoli!$R$41:$R$47</c:f>
              <c:numCache>
                <c:formatCode>General</c:formatCode>
                <c:ptCount val="7"/>
                <c:pt idx="0">
                  <c:v>1332.4821856782901</c:v>
                </c:pt>
                <c:pt idx="1">
                  <c:v>1415.50556269769</c:v>
                </c:pt>
                <c:pt idx="2">
                  <c:v>2007.4700585831399</c:v>
                </c:pt>
                <c:pt idx="3">
                  <c:v>2748.5017888437601</c:v>
                </c:pt>
                <c:pt idx="4">
                  <c:v>3139.1427385450402</c:v>
                </c:pt>
                <c:pt idx="5">
                  <c:v>3670.6663818881302</c:v>
                </c:pt>
                <c:pt idx="6">
                  <c:v>4097.43212144886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4D-43F8-BC09-BF7A7DF5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verifyPoli!$C$39:$C$47</c:f>
              <c:numCache>
                <c:formatCode>General</c:formatCode>
                <c:ptCount val="9"/>
                <c:pt idx="0">
                  <c:v>743.48385399337099</c:v>
                </c:pt>
                <c:pt idx="1">
                  <c:v>704.03554481809999</c:v>
                </c:pt>
                <c:pt idx="2">
                  <c:v>706.25544366644203</c:v>
                </c:pt>
                <c:pt idx="3">
                  <c:v>0</c:v>
                </c:pt>
                <c:pt idx="4">
                  <c:v>732.30210356062196</c:v>
                </c:pt>
                <c:pt idx="5">
                  <c:v>787.74351903907404</c:v>
                </c:pt>
                <c:pt idx="6">
                  <c:v>814.30160935839399</c:v>
                </c:pt>
                <c:pt idx="7">
                  <c:v>860.21029976089596</c:v>
                </c:pt>
                <c:pt idx="8">
                  <c:v>892.33981179341504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5-40F8-869D-837B2C5E205C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verifyPoli!$F$41:$F$47</c:f>
              <c:numCache>
                <c:formatCode>General</c:formatCode>
                <c:ptCount val="7"/>
                <c:pt idx="0">
                  <c:v>751.63305438605198</c:v>
                </c:pt>
                <c:pt idx="1">
                  <c:v>756.79497163267695</c:v>
                </c:pt>
                <c:pt idx="2">
                  <c:v>811.42353497167403</c:v>
                </c:pt>
                <c:pt idx="3">
                  <c:v>903.04981105598495</c:v>
                </c:pt>
                <c:pt idx="4">
                  <c:v>949.97158682540305</c:v>
                </c:pt>
                <c:pt idx="5">
                  <c:v>1011.97419534797</c:v>
                </c:pt>
                <c:pt idx="6">
                  <c:v>1050.49670632331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5-40F8-869D-837B2C5E205C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verifyPoli!$I$41:$I$47</c:f>
              <c:numCache>
                <c:formatCode>General</c:formatCode>
                <c:ptCount val="7"/>
                <c:pt idx="0">
                  <c:v>814.71170218323903</c:v>
                </c:pt>
                <c:pt idx="1">
                  <c:v>825.79099564766</c:v>
                </c:pt>
                <c:pt idx="2">
                  <c:v>917.90277923921099</c:v>
                </c:pt>
                <c:pt idx="3">
                  <c:v>1053.18130691075</c:v>
                </c:pt>
                <c:pt idx="4">
                  <c:v>1123.4700270989399</c:v>
                </c:pt>
                <c:pt idx="5">
                  <c:v>1205.1365134735399</c:v>
                </c:pt>
                <c:pt idx="6">
                  <c:v>1252.39692196595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B5-40F8-869D-837B2C5E205C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verifyPoli!$M$39:$M$47</c:f>
              <c:numCache>
                <c:formatCode>General</c:formatCode>
                <c:ptCount val="9"/>
                <c:pt idx="0">
                  <c:v>762.53360427435803</c:v>
                </c:pt>
                <c:pt idx="1">
                  <c:v>712.78611359517004</c:v>
                </c:pt>
                <c:pt idx="2">
                  <c:v>715.30282426629799</c:v>
                </c:pt>
                <c:pt idx="3">
                  <c:v>719.545634031605</c:v>
                </c:pt>
                <c:pt idx="4">
                  <c:v>767.381637354497</c:v>
                </c:pt>
                <c:pt idx="5">
                  <c:v>840.86359533468396</c:v>
                </c:pt>
                <c:pt idx="6">
                  <c:v>878.18619776765104</c:v>
                </c:pt>
                <c:pt idx="7">
                  <c:v>924.56097974299701</c:v>
                </c:pt>
                <c:pt idx="8">
                  <c:v>957.44381458286705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B5-40F8-869D-837B2C5E205C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verifyPoli!$P$41:$P$47</c:f>
              <c:numCache>
                <c:formatCode>General</c:formatCode>
                <c:ptCount val="7"/>
                <c:pt idx="0">
                  <c:v>784.76961933794405</c:v>
                </c:pt>
                <c:pt idx="1">
                  <c:v>794.35080565490898</c:v>
                </c:pt>
                <c:pt idx="2">
                  <c:v>877.45761182013405</c:v>
                </c:pt>
                <c:pt idx="3">
                  <c:v>989.49649228828002</c:v>
                </c:pt>
                <c:pt idx="4">
                  <c:v>1045.24180637521</c:v>
                </c:pt>
                <c:pt idx="5">
                  <c:v>1115.03691883018</c:v>
                </c:pt>
                <c:pt idx="6">
                  <c:v>1165.5770840242601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B5-40F8-869D-837B2C5E205C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verifyPoli!$S$41:$S$47</c:f>
              <c:numCache>
                <c:formatCode>General</c:formatCode>
                <c:ptCount val="7"/>
                <c:pt idx="0">
                  <c:v>854.23641440958795</c:v>
                </c:pt>
                <c:pt idx="1">
                  <c:v>869.15597727821205</c:v>
                </c:pt>
                <c:pt idx="2">
                  <c:v>987.53358628576996</c:v>
                </c:pt>
                <c:pt idx="3">
                  <c:v>1138.1293892418801</c:v>
                </c:pt>
                <c:pt idx="4">
                  <c:v>1212.2974149827801</c:v>
                </c:pt>
                <c:pt idx="5">
                  <c:v>1305.51285791736</c:v>
                </c:pt>
                <c:pt idx="6">
                  <c:v>1373.7103534656501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B5-40F8-869D-837B2C5E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verifyPoli!$D$39:$D$47</c:f>
              <c:numCache>
                <c:formatCode>General</c:formatCode>
                <c:ptCount val="9"/>
                <c:pt idx="0">
                  <c:v>0.46509016631244599</c:v>
                </c:pt>
                <c:pt idx="1">
                  <c:v>0.472401604145124</c:v>
                </c:pt>
                <c:pt idx="2">
                  <c:v>0.46858018280511299</c:v>
                </c:pt>
                <c:pt idx="3">
                  <c:v>0</c:v>
                </c:pt>
                <c:pt idx="4">
                  <c:v>0.47004054667866502</c:v>
                </c:pt>
                <c:pt idx="5">
                  <c:v>0.46615643393463202</c:v>
                </c:pt>
                <c:pt idx="6">
                  <c:v>0.46641723926970102</c:v>
                </c:pt>
                <c:pt idx="7">
                  <c:v>0.46393095506693899</c:v>
                </c:pt>
                <c:pt idx="8">
                  <c:v>0.46221277610525102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7-45FD-B030-9748508E91B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verifyPoli!$G$41:$G$47</c:f>
              <c:numCache>
                <c:formatCode>General</c:formatCode>
                <c:ptCount val="7"/>
                <c:pt idx="0">
                  <c:v>0.47143001268169599</c:v>
                </c:pt>
                <c:pt idx="1">
                  <c:v>0.47031322759035699</c:v>
                </c:pt>
                <c:pt idx="2">
                  <c:v>0.46915172691019402</c:v>
                </c:pt>
                <c:pt idx="3">
                  <c:v>0.47038796467667399</c:v>
                </c:pt>
                <c:pt idx="4">
                  <c:v>0.46709784128484899</c:v>
                </c:pt>
                <c:pt idx="5">
                  <c:v>0.46406830223605799</c:v>
                </c:pt>
                <c:pt idx="6">
                  <c:v>0.46298708379387299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27-45FD-B030-9748508E91B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verifyPoli!$J$41:$J$47</c:f>
              <c:numCache>
                <c:formatCode>General</c:formatCode>
                <c:ptCount val="7"/>
                <c:pt idx="0">
                  <c:v>0.47381962392822202</c:v>
                </c:pt>
                <c:pt idx="1">
                  <c:v>0.47261625558908898</c:v>
                </c:pt>
                <c:pt idx="2">
                  <c:v>0.47018648409519898</c:v>
                </c:pt>
                <c:pt idx="3">
                  <c:v>0.46748399310015898</c:v>
                </c:pt>
                <c:pt idx="4">
                  <c:v>0.47059621256220302</c:v>
                </c:pt>
                <c:pt idx="5">
                  <c:v>0.46551811113974301</c:v>
                </c:pt>
                <c:pt idx="6">
                  <c:v>0.467259213215446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27-45FD-B030-9748508E91B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verifyPoli!$N$39:$N$47</c:f>
              <c:numCache>
                <c:formatCode>General</c:formatCode>
                <c:ptCount val="9"/>
                <c:pt idx="0">
                  <c:v>0.46580861379627098</c:v>
                </c:pt>
                <c:pt idx="1">
                  <c:v>0.46996278912905798</c:v>
                </c:pt>
                <c:pt idx="2">
                  <c:v>0.47134135109165498</c:v>
                </c:pt>
                <c:pt idx="3">
                  <c:v>0.47141239352936098</c:v>
                </c:pt>
                <c:pt idx="4">
                  <c:v>0.47066336887219001</c:v>
                </c:pt>
                <c:pt idx="5">
                  <c:v>0.46822165703255397</c:v>
                </c:pt>
                <c:pt idx="6">
                  <c:v>0.46670544939976</c:v>
                </c:pt>
                <c:pt idx="7">
                  <c:v>0.46459319988546</c:v>
                </c:pt>
                <c:pt idx="8">
                  <c:v>0.46292285932053701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7-45FD-B030-9748508E91B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verifyPoli!$Q$41:$Q$47</c:f>
              <c:numCache>
                <c:formatCode>General</c:formatCode>
                <c:ptCount val="7"/>
                <c:pt idx="0">
                  <c:v>0.47097373719661401</c:v>
                </c:pt>
                <c:pt idx="1">
                  <c:v>0.47101418687577101</c:v>
                </c:pt>
                <c:pt idx="2">
                  <c:v>0.47027155534312798</c:v>
                </c:pt>
                <c:pt idx="3">
                  <c:v>0.46817692260295102</c:v>
                </c:pt>
                <c:pt idx="4">
                  <c:v>0.46692804936423699</c:v>
                </c:pt>
                <c:pt idx="5">
                  <c:v>0.46523623053024998</c:v>
                </c:pt>
                <c:pt idx="6">
                  <c:v>0.46393638806806398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27-45FD-B030-9748508E91B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verifyPoli!$T$41:$T$47</c:f>
              <c:numCache>
                <c:formatCode>General</c:formatCode>
                <c:ptCount val="7"/>
                <c:pt idx="0">
                  <c:v>0.47060612330157298</c:v>
                </c:pt>
                <c:pt idx="1">
                  <c:v>0.47061598022217999</c:v>
                </c:pt>
                <c:pt idx="2">
                  <c:v>0.469879741814066</c:v>
                </c:pt>
                <c:pt idx="3">
                  <c:v>0.46813218817334901</c:v>
                </c:pt>
                <c:pt idx="4">
                  <c:v>0.46715064932871297</c:v>
                </c:pt>
                <c:pt idx="5">
                  <c:v>0.46587926117503897</c:v>
                </c:pt>
                <c:pt idx="6">
                  <c:v>0.464949916815591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27-45FD-B030-9748508E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0</xdr:rowOff>
    </xdr:from>
    <xdr:to>
      <xdr:col>27</xdr:col>
      <xdr:colOff>162370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256373</xdr:colOff>
      <xdr:row>0</xdr:row>
      <xdr:rowOff>42729</xdr:rowOff>
    </xdr:from>
    <xdr:to>
      <xdr:col>25</xdr:col>
      <xdr:colOff>256373</xdr:colOff>
      <xdr:row>37</xdr:row>
      <xdr:rowOff>136733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6ADA28-4DFD-4420-A8C6-EAF013DFA9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85456</xdr:colOff>
      <xdr:row>1</xdr:row>
      <xdr:rowOff>25636</xdr:rowOff>
    </xdr:from>
    <xdr:to>
      <xdr:col>27</xdr:col>
      <xdr:colOff>350376</xdr:colOff>
      <xdr:row>16</xdr:row>
      <xdr:rowOff>76911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E532AE-74F3-453E-BCE4-5C23D2EC5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401653</xdr:colOff>
      <xdr:row>1</xdr:row>
      <xdr:rowOff>8546</xdr:rowOff>
    </xdr:from>
    <xdr:to>
      <xdr:col>37</xdr:col>
      <xdr:colOff>51275</xdr:colOff>
      <xdr:row>16</xdr:row>
      <xdr:rowOff>59821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177890-906A-45C3-9766-6D0F453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136732</xdr:colOff>
      <xdr:row>1</xdr:row>
      <xdr:rowOff>25636</xdr:rowOff>
    </xdr:from>
    <xdr:to>
      <xdr:col>47</xdr:col>
      <xdr:colOff>598206</xdr:colOff>
      <xdr:row>16</xdr:row>
      <xdr:rowOff>76911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879B6F-E5A3-43F9-8F42-1F0A74DDE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213645</xdr:colOff>
      <xdr:row>17</xdr:row>
      <xdr:rowOff>111094</xdr:rowOff>
    </xdr:from>
    <xdr:to>
      <xdr:col>27</xdr:col>
      <xdr:colOff>478565</xdr:colOff>
      <xdr:row>32</xdr:row>
      <xdr:rowOff>162369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7067AD-8B31-4054-B591-C9D314EB2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581115</xdr:colOff>
      <xdr:row>17</xdr:row>
      <xdr:rowOff>128186</xdr:rowOff>
    </xdr:from>
    <xdr:to>
      <xdr:col>37</xdr:col>
      <xdr:colOff>230737</xdr:colOff>
      <xdr:row>32</xdr:row>
      <xdr:rowOff>179461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EE899F-2F15-4F1E-A21F-A84C19B7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333286</xdr:colOff>
      <xdr:row>17</xdr:row>
      <xdr:rowOff>68366</xdr:rowOff>
    </xdr:from>
    <xdr:to>
      <xdr:col>48</xdr:col>
      <xdr:colOff>17092</xdr:colOff>
      <xdr:row>32</xdr:row>
      <xdr:rowOff>119641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934AF0-C72A-4464-BE07-02925E0C6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196552</xdr:colOff>
      <xdr:row>33</xdr:row>
      <xdr:rowOff>153823</xdr:rowOff>
    </xdr:from>
    <xdr:to>
      <xdr:col>28</xdr:col>
      <xdr:colOff>128186</xdr:colOff>
      <xdr:row>49</xdr:row>
      <xdr:rowOff>25637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348208-0623-4F21-9000-C3839515A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179462</xdr:colOff>
      <xdr:row>33</xdr:row>
      <xdr:rowOff>162370</xdr:rowOff>
    </xdr:from>
    <xdr:to>
      <xdr:col>37</xdr:col>
      <xdr:colOff>444381</xdr:colOff>
      <xdr:row>49</xdr:row>
      <xdr:rowOff>34184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F4B2F-9AF0-42B9-BAD1-2E3EA0BDA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0</xdr:colOff>
      <xdr:row>34</xdr:row>
      <xdr:rowOff>0</xdr:rowOff>
    </xdr:from>
    <xdr:to>
      <xdr:col>48</xdr:col>
      <xdr:colOff>299103</xdr:colOff>
      <xdr:row>49</xdr:row>
      <xdr:rowOff>51275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8D18D3F-0B22-45FB-96CF-94247D46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O39"/>
  <sheetViews>
    <sheetView topLeftCell="B1" workbookViewId="0">
      <selection activeCell="K13" sqref="K13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5" x14ac:dyDescent="0.25">
      <c r="G1" s="5"/>
      <c r="H1" s="5"/>
      <c r="I1" s="5"/>
      <c r="J1" s="5"/>
      <c r="K1" s="5"/>
    </row>
    <row r="2" spans="1:15" x14ac:dyDescent="0.25">
      <c r="G2" s="5"/>
      <c r="H2" s="5"/>
      <c r="I2" s="7"/>
      <c r="J2" s="7"/>
      <c r="K2" s="7"/>
      <c r="L2" s="7"/>
      <c r="M2" s="7"/>
      <c r="N2" s="7"/>
      <c r="O2" s="7"/>
    </row>
    <row r="3" spans="1:15" x14ac:dyDescent="0.25">
      <c r="C3" t="s">
        <v>0</v>
      </c>
      <c r="D3" t="s">
        <v>1</v>
      </c>
      <c r="E3" t="s">
        <v>6</v>
      </c>
      <c r="G3" s="5"/>
      <c r="H3" s="5"/>
      <c r="I3" s="5"/>
      <c r="J3" s="5"/>
      <c r="K3" s="5"/>
    </row>
    <row r="4" spans="1:15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5"/>
      <c r="H4" s="5"/>
      <c r="I4" s="5"/>
      <c r="J4" s="5"/>
      <c r="K4" s="5"/>
    </row>
    <row r="5" spans="1:15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5"/>
      <c r="H5" s="5"/>
      <c r="I5" s="5"/>
      <c r="J5" s="5"/>
      <c r="K5" s="5"/>
    </row>
    <row r="6" spans="1:15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5"/>
      <c r="H6" s="5"/>
      <c r="I6" s="5"/>
      <c r="J6" s="5"/>
      <c r="K6" s="5"/>
    </row>
    <row r="7" spans="1:15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5"/>
      <c r="H7" s="5"/>
      <c r="I7" s="5"/>
      <c r="J7" s="5"/>
      <c r="K7" s="5"/>
    </row>
    <row r="8" spans="1:15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5"/>
      <c r="H8" s="5"/>
      <c r="I8" s="5"/>
      <c r="J8" s="5"/>
      <c r="K8" s="5"/>
    </row>
    <row r="9" spans="1:15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5"/>
      <c r="H9" s="5"/>
      <c r="I9" s="5"/>
      <c r="J9" s="5"/>
      <c r="K9" s="5"/>
    </row>
    <row r="10" spans="1:15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5"/>
      <c r="H10" s="5"/>
      <c r="I10" s="5"/>
      <c r="J10" s="5"/>
      <c r="K10" s="5"/>
    </row>
    <row r="11" spans="1:15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5"/>
      <c r="H11" s="5"/>
      <c r="I11" s="5"/>
      <c r="J11" s="5"/>
      <c r="K11" s="5"/>
    </row>
    <row r="12" spans="1:15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5"/>
      <c r="H12" s="5"/>
      <c r="I12" s="5"/>
      <c r="J12" s="5"/>
      <c r="K12" s="5"/>
    </row>
    <row r="13" spans="1:15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5"/>
      <c r="H13" s="5"/>
      <c r="I13" s="5"/>
      <c r="J13" s="5"/>
      <c r="K13" s="5"/>
    </row>
    <row r="14" spans="1:15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5"/>
      <c r="H14" s="5"/>
      <c r="I14" s="5"/>
      <c r="J14" s="5"/>
      <c r="K14" s="5"/>
    </row>
    <row r="15" spans="1:15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5"/>
      <c r="H15" s="5"/>
      <c r="I15" s="10"/>
      <c r="J15" s="10"/>
      <c r="K15" s="10"/>
      <c r="M15" s="11"/>
      <c r="N15" s="11"/>
      <c r="O15" s="11"/>
    </row>
    <row r="16" spans="1:15" x14ac:dyDescent="0.25">
      <c r="A16" s="2"/>
      <c r="B16" s="2"/>
      <c r="C16" s="2"/>
      <c r="D16" s="2"/>
      <c r="E16" s="2"/>
      <c r="G16" s="5"/>
      <c r="H16" s="5"/>
      <c r="I16" s="5"/>
      <c r="J16" s="5"/>
      <c r="K16" s="5"/>
    </row>
    <row r="17" spans="1:11" x14ac:dyDescent="0.25">
      <c r="A17" t="s">
        <v>14</v>
      </c>
      <c r="G17" s="5"/>
      <c r="H17" s="5"/>
      <c r="I17" s="5"/>
      <c r="J17" s="5"/>
      <c r="K17" s="5"/>
    </row>
    <row r="18" spans="1:11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5"/>
      <c r="H18" s="5"/>
      <c r="I18" s="5"/>
      <c r="J18" s="5"/>
      <c r="K18" s="5"/>
    </row>
    <row r="19" spans="1:11" x14ac:dyDescent="0.25">
      <c r="A19">
        <v>10</v>
      </c>
      <c r="B19">
        <v>211.45851253616499</v>
      </c>
      <c r="C19">
        <v>151.17344013171601</v>
      </c>
      <c r="E19" t="s">
        <v>16</v>
      </c>
      <c r="G19" s="5">
        <f>((F18-F20)/F18)*100</f>
        <v>29.759956941234179</v>
      </c>
      <c r="H19" s="5"/>
      <c r="I19" s="5"/>
      <c r="J19" s="5"/>
      <c r="K19" s="5"/>
    </row>
    <row r="20" spans="1:11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5"/>
      <c r="H20" s="5"/>
      <c r="I20" s="5"/>
      <c r="J20" s="5"/>
      <c r="K20" s="5"/>
    </row>
    <row r="21" spans="1:11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5"/>
      <c r="H21" s="5"/>
      <c r="I21" s="5"/>
      <c r="J21" s="5"/>
      <c r="K21" s="5"/>
    </row>
    <row r="22" spans="1:11" x14ac:dyDescent="0.25">
      <c r="A22" t="s">
        <v>15</v>
      </c>
      <c r="B22">
        <v>428.67756477512501</v>
      </c>
      <c r="C22">
        <v>309.30145170981001</v>
      </c>
      <c r="G22" s="5"/>
      <c r="H22" s="5"/>
      <c r="I22" s="5"/>
      <c r="J22" s="5"/>
      <c r="K22" s="5"/>
    </row>
    <row r="23" spans="1:11" x14ac:dyDescent="0.25">
      <c r="G23" s="5"/>
      <c r="H23" s="5"/>
      <c r="I23" s="5"/>
      <c r="J23" s="5"/>
      <c r="K23" s="5"/>
    </row>
    <row r="24" spans="1:11" x14ac:dyDescent="0.25">
      <c r="A24" t="s">
        <v>14</v>
      </c>
      <c r="G24" s="5"/>
      <c r="H24" s="5"/>
      <c r="I24" s="5"/>
      <c r="J24" s="5"/>
      <c r="K24" s="5"/>
    </row>
    <row r="25" spans="1:11" x14ac:dyDescent="0.25">
      <c r="A25" t="s">
        <v>10</v>
      </c>
      <c r="B25" t="s">
        <v>19</v>
      </c>
      <c r="C25" t="s">
        <v>20</v>
      </c>
      <c r="G25" s="5"/>
      <c r="H25" s="5"/>
      <c r="I25" s="5"/>
      <c r="J25" s="5"/>
      <c r="K25" s="5"/>
    </row>
    <row r="26" spans="1:11" x14ac:dyDescent="0.25">
      <c r="A26">
        <v>10</v>
      </c>
      <c r="B26">
        <v>1101.45690994547</v>
      </c>
      <c r="C26">
        <v>1008.39185114427</v>
      </c>
      <c r="G26" s="5"/>
      <c r="H26" s="5"/>
      <c r="I26" s="5"/>
      <c r="J26" s="5"/>
      <c r="K26" s="5"/>
    </row>
    <row r="27" spans="1:11" x14ac:dyDescent="0.25">
      <c r="A27">
        <v>12</v>
      </c>
      <c r="B27">
        <v>1212.63130687333</v>
      </c>
      <c r="C27">
        <v>1100.2363492383899</v>
      </c>
      <c r="G27" s="5"/>
      <c r="H27" s="5"/>
      <c r="I27" s="5"/>
      <c r="J27" s="5"/>
      <c r="K27" s="5"/>
    </row>
    <row r="28" spans="1:11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5"/>
      <c r="H28" s="5"/>
      <c r="I28" s="5"/>
      <c r="J28" s="5"/>
      <c r="K28" s="5"/>
    </row>
    <row r="29" spans="1:11" x14ac:dyDescent="0.25">
      <c r="A29" t="s">
        <v>15</v>
      </c>
      <c r="B29">
        <v>1745.1161956963499</v>
      </c>
      <c r="C29">
        <v>1587.9480298286801</v>
      </c>
      <c r="G29" s="5"/>
      <c r="H29" s="5"/>
      <c r="I29" s="5"/>
      <c r="J29" s="5"/>
      <c r="K29" s="5"/>
    </row>
    <row r="30" spans="1:11" x14ac:dyDescent="0.25">
      <c r="G30" s="5"/>
      <c r="H30" s="10"/>
      <c r="I30" s="10"/>
      <c r="J30" s="10"/>
      <c r="K30" s="6"/>
    </row>
    <row r="31" spans="1:11" x14ac:dyDescent="0.25">
      <c r="G31" s="5"/>
      <c r="H31" s="5"/>
      <c r="I31" s="5"/>
      <c r="J31" s="5"/>
      <c r="K31" s="5"/>
    </row>
    <row r="32" spans="1:11" x14ac:dyDescent="0.25">
      <c r="G32" s="5"/>
      <c r="H32" s="5"/>
      <c r="I32" s="5"/>
      <c r="J32" s="5"/>
      <c r="K32" s="5"/>
    </row>
    <row r="33" spans="7:11" x14ac:dyDescent="0.25">
      <c r="G33" s="5"/>
      <c r="H33" s="5"/>
      <c r="I33" s="5"/>
      <c r="J33" s="5"/>
      <c r="K33" s="5"/>
    </row>
    <row r="34" spans="7:11" x14ac:dyDescent="0.25">
      <c r="G34" s="5"/>
      <c r="H34" s="5"/>
      <c r="I34" s="5"/>
      <c r="J34" s="5"/>
      <c r="K34" s="5"/>
    </row>
    <row r="35" spans="7:11" x14ac:dyDescent="0.25">
      <c r="G35" s="5"/>
      <c r="H35" s="5"/>
      <c r="I35" s="5"/>
      <c r="J35" s="5"/>
      <c r="K35" s="5"/>
    </row>
    <row r="36" spans="7:11" x14ac:dyDescent="0.25">
      <c r="H36" s="5"/>
      <c r="I36" s="5"/>
      <c r="J36" s="5"/>
      <c r="K36" s="5"/>
    </row>
    <row r="37" spans="7:11" x14ac:dyDescent="0.25">
      <c r="H37" s="5"/>
      <c r="I37" s="5"/>
      <c r="J37" s="5"/>
      <c r="K37" s="5"/>
    </row>
    <row r="38" spans="7:11" x14ac:dyDescent="0.25">
      <c r="H38" s="5"/>
      <c r="I38" s="5"/>
      <c r="J38" s="5"/>
      <c r="K38" s="5"/>
    </row>
    <row r="39" spans="7:11" x14ac:dyDescent="0.25">
      <c r="H39" s="5"/>
      <c r="I39" s="5"/>
      <c r="J39" s="5"/>
      <c r="K39" s="5"/>
    </row>
  </sheetData>
  <mergeCells count="3">
    <mergeCell ref="I15:K15"/>
    <mergeCell ref="M15:O15"/>
    <mergeCell ref="H30:J30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workbookViewId="0">
      <selection activeCell="H34" sqref="H34"/>
    </sheetView>
  </sheetViews>
  <sheetFormatPr defaultRowHeight="14.15" x14ac:dyDescent="0.25"/>
  <sheetData>
    <row r="2" spans="2:6" x14ac:dyDescent="0.25">
      <c r="B2" s="11" t="s">
        <v>26</v>
      </c>
      <c r="C2" s="11"/>
      <c r="D2" s="11"/>
      <c r="E2" s="11"/>
    </row>
    <row r="3" spans="2:6" x14ac:dyDescent="0.25">
      <c r="B3" s="11" t="s">
        <v>23</v>
      </c>
      <c r="C3" s="11"/>
      <c r="D3" s="11" t="s">
        <v>24</v>
      </c>
      <c r="E3" s="11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11" t="s">
        <v>23</v>
      </c>
      <c r="C10" s="11"/>
      <c r="D10" s="11" t="s">
        <v>24</v>
      </c>
      <c r="E10" s="11"/>
      <c r="F10" s="11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11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11" t="s">
        <v>27</v>
      </c>
      <c r="C20" s="11"/>
      <c r="D20" s="11"/>
      <c r="E20" s="11"/>
    </row>
    <row r="21" spans="2:6" x14ac:dyDescent="0.25">
      <c r="B21" s="11" t="s">
        <v>23</v>
      </c>
      <c r="C21" s="11"/>
      <c r="D21" s="11" t="s">
        <v>24</v>
      </c>
      <c r="E21" s="11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7.6917153927817496</v>
      </c>
      <c r="D23">
        <v>0</v>
      </c>
      <c r="E23">
        <v>8.5031802148166307</v>
      </c>
    </row>
    <row r="24" spans="2:6" x14ac:dyDescent="0.25">
      <c r="B24">
        <v>1</v>
      </c>
      <c r="C24">
        <v>7.6922699245458404</v>
      </c>
      <c r="D24">
        <v>1</v>
      </c>
      <c r="E24">
        <v>8.3932143198203306</v>
      </c>
    </row>
    <row r="25" spans="2:6" x14ac:dyDescent="0.25">
      <c r="B25">
        <v>2</v>
      </c>
      <c r="C25">
        <v>7.6926770081712297</v>
      </c>
      <c r="D25">
        <v>2</v>
      </c>
      <c r="E25">
        <v>8.2919999382232294</v>
      </c>
    </row>
    <row r="26" spans="2:6" x14ac:dyDescent="0.25">
      <c r="B26">
        <v>3</v>
      </c>
      <c r="C26">
        <v>7.6929338414266004</v>
      </c>
      <c r="D26">
        <v>3</v>
      </c>
      <c r="E26">
        <v>8.2003976650590999</v>
      </c>
    </row>
    <row r="27" spans="2:6" x14ac:dyDescent="0.25">
      <c r="B27">
        <v>4</v>
      </c>
      <c r="C27">
        <v>7.69296382373438</v>
      </c>
      <c r="D27">
        <v>4</v>
      </c>
      <c r="E27">
        <v>8.1098224538620194</v>
      </c>
    </row>
    <row r="28" spans="2:6" x14ac:dyDescent="0.25">
      <c r="B28" s="11" t="s">
        <v>23</v>
      </c>
      <c r="C28" s="11"/>
      <c r="D28" s="11" t="s">
        <v>24</v>
      </c>
      <c r="E28" s="11"/>
      <c r="F28" s="11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11"/>
    </row>
    <row r="30" spans="2:6" x14ac:dyDescent="0.25">
      <c r="B30">
        <v>0</v>
      </c>
      <c r="C30">
        <v>1.8624331919794099</v>
      </c>
      <c r="D30">
        <v>0</v>
      </c>
      <c r="E30">
        <v>1.11801829020912</v>
      </c>
      <c r="F30">
        <f>E30+C30</f>
        <v>2.98045148218853</v>
      </c>
    </row>
    <row r="31" spans="2:6" x14ac:dyDescent="0.25">
      <c r="B31">
        <v>1</v>
      </c>
      <c r="C31">
        <v>1.83081284040067</v>
      </c>
      <c r="D31">
        <v>1</v>
      </c>
      <c r="E31">
        <v>1.18507861270739</v>
      </c>
      <c r="F31">
        <f>E31+C31</f>
        <v>3.0158914531080603</v>
      </c>
    </row>
    <row r="32" spans="2:6" x14ac:dyDescent="0.25">
      <c r="B32">
        <v>2</v>
      </c>
      <c r="C32">
        <v>1.76602945629015</v>
      </c>
      <c r="D32">
        <v>2</v>
      </c>
      <c r="E32">
        <v>1.25109689148784</v>
      </c>
      <c r="F32">
        <f>E32+C32</f>
        <v>3.0171263477779897</v>
      </c>
    </row>
    <row r="33" spans="2:6" x14ac:dyDescent="0.25">
      <c r="B33">
        <v>3</v>
      </c>
      <c r="C33">
        <v>1.67770681633601</v>
      </c>
      <c r="D33">
        <v>3</v>
      </c>
      <c r="E33">
        <v>1.31419830612135</v>
      </c>
      <c r="F33">
        <f>E33+C33</f>
        <v>2.9919051224573598</v>
      </c>
    </row>
    <row r="34" spans="2:6" x14ac:dyDescent="0.25">
      <c r="B34">
        <v>4</v>
      </c>
      <c r="C34">
        <v>1.5438997464828399</v>
      </c>
      <c r="D34">
        <v>4</v>
      </c>
      <c r="E34">
        <v>1.38196791496524</v>
      </c>
      <c r="F34">
        <f>E34+C34</f>
        <v>2.9258676614480796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topLeftCell="A10" workbookViewId="0">
      <selection activeCell="M15" sqref="M15"/>
    </sheetView>
  </sheetViews>
  <sheetFormatPr defaultRowHeight="14.15" x14ac:dyDescent="0.25"/>
  <sheetData>
    <row r="1" spans="2:18" x14ac:dyDescent="0.25">
      <c r="E1" s="11" t="s">
        <v>27</v>
      </c>
      <c r="F1" s="11"/>
      <c r="G1" s="11"/>
      <c r="H1" s="11"/>
    </row>
    <row r="2" spans="2:18" x14ac:dyDescent="0.25">
      <c r="C2" s="11" t="s">
        <v>31</v>
      </c>
      <c r="D2" s="11"/>
      <c r="E2" s="11" t="s">
        <v>32</v>
      </c>
      <c r="F2" s="11"/>
      <c r="G2" s="11" t="s">
        <v>33</v>
      </c>
      <c r="H2" s="11"/>
      <c r="I2" s="3"/>
      <c r="J2" s="11" t="s">
        <v>31</v>
      </c>
      <c r="K2" s="11"/>
      <c r="L2" s="11" t="s">
        <v>27</v>
      </c>
      <c r="M2" s="11"/>
      <c r="O2" s="11" t="s">
        <v>31</v>
      </c>
      <c r="P2" s="11"/>
      <c r="Q2" s="11" t="s">
        <v>27</v>
      </c>
      <c r="R2" s="11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11" t="s">
        <v>34</v>
      </c>
      <c r="C10" s="11"/>
      <c r="D10" s="11"/>
      <c r="E10" s="11"/>
      <c r="F10" s="11"/>
      <c r="G10" s="11"/>
      <c r="H10" s="11"/>
    </row>
    <row r="11" spans="2:18" x14ac:dyDescent="0.25">
      <c r="E11" s="11" t="s">
        <v>27</v>
      </c>
      <c r="F11" s="11"/>
      <c r="G11" s="11"/>
      <c r="H11" s="11"/>
    </row>
    <row r="12" spans="2:18" x14ac:dyDescent="0.25">
      <c r="C12" s="11" t="s">
        <v>31</v>
      </c>
      <c r="D12" s="11"/>
      <c r="E12" s="11" t="s">
        <v>32</v>
      </c>
      <c r="F12" s="11"/>
      <c r="G12" s="11" t="s">
        <v>33</v>
      </c>
      <c r="H12" s="11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13"/>
  <sheetViews>
    <sheetView workbookViewId="0">
      <selection activeCell="F19" sqref="F19"/>
    </sheetView>
  </sheetViews>
  <sheetFormatPr defaultRowHeight="14.15" x14ac:dyDescent="0.25"/>
  <sheetData>
    <row r="2" spans="3:7" x14ac:dyDescent="0.25">
      <c r="D2" s="11" t="s">
        <v>27</v>
      </c>
      <c r="E2" s="11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1862.3177701526499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1117.49156012305</v>
      </c>
      <c r="E5">
        <f t="shared" ref="E5:E13" si="0">D5/$D$4</f>
        <v>0.60005417874064093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1058.1071115053501</v>
      </c>
      <c r="E6">
        <f t="shared" si="0"/>
        <v>0.56816679111568558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1050.2954630261399</v>
      </c>
      <c r="E7">
        <f t="shared" si="0"/>
        <v>0.56397220703105333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1049.2301799965801</v>
      </c>
      <c r="E8">
        <f t="shared" si="0"/>
        <v>0.56340018702102435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1049.0717871703901</v>
      </c>
      <c r="E9">
        <f t="shared" si="0"/>
        <v>0.56331513557130486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1049.0721273238601</v>
      </c>
      <c r="E10">
        <f t="shared" si="0"/>
        <v>0.56331531822191117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1049.0721273238601</v>
      </c>
      <c r="E11">
        <f t="shared" si="0"/>
        <v>0.56331531822191117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1049.0721273238601</v>
      </c>
      <c r="E12">
        <f t="shared" si="0"/>
        <v>0.56331531822191117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1049.0721273238601</v>
      </c>
      <c r="E13">
        <f t="shared" si="0"/>
        <v>0.56331531822191117</v>
      </c>
      <c r="F13">
        <v>0.57499999999999996</v>
      </c>
      <c r="G13">
        <v>0.49299999999999999</v>
      </c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7F2B9-F7F9-467E-8CE1-58675B9CA92D}">
  <dimension ref="B2:K15"/>
  <sheetViews>
    <sheetView workbookViewId="0">
      <selection activeCell="I16" sqref="I16"/>
    </sheetView>
  </sheetViews>
  <sheetFormatPr defaultRowHeight="14.15" x14ac:dyDescent="0.25"/>
  <sheetData>
    <row r="2" spans="2:11" x14ac:dyDescent="0.25">
      <c r="C2" s="11" t="s">
        <v>43</v>
      </c>
      <c r="D2" s="11"/>
      <c r="E2" s="11" t="s">
        <v>44</v>
      </c>
      <c r="F2" s="11"/>
      <c r="G2" s="11" t="s">
        <v>47</v>
      </c>
      <c r="H2" s="11"/>
      <c r="I2" s="11" t="s">
        <v>48</v>
      </c>
      <c r="J2" s="11"/>
      <c r="K2" t="s">
        <v>45</v>
      </c>
    </row>
    <row r="3" spans="2:11" x14ac:dyDescent="0.25">
      <c r="B3" t="s">
        <v>29</v>
      </c>
      <c r="C3" t="s">
        <v>41</v>
      </c>
      <c r="D3" t="s">
        <v>42</v>
      </c>
      <c r="E3" t="s">
        <v>41</v>
      </c>
      <c r="F3" t="s">
        <v>42</v>
      </c>
      <c r="G3" t="s">
        <v>41</v>
      </c>
      <c r="H3" t="s">
        <v>42</v>
      </c>
      <c r="I3" t="s">
        <v>41</v>
      </c>
      <c r="J3" t="s">
        <v>42</v>
      </c>
    </row>
    <row r="4" spans="2:11" x14ac:dyDescent="0.25">
      <c r="B4">
        <v>1</v>
      </c>
      <c r="C4">
        <v>1.9530000000000001</v>
      </c>
      <c r="D4">
        <v>1.736</v>
      </c>
      <c r="E4">
        <v>2.032</v>
      </c>
      <c r="F4">
        <v>1.8540000000000001</v>
      </c>
      <c r="G4">
        <v>1862.3177701526499</v>
      </c>
      <c r="H4">
        <v>1862.17249955479</v>
      </c>
      <c r="I4">
        <f t="shared" ref="I4:J8" si="0">G4/1000</f>
        <v>1.8623177701526499</v>
      </c>
      <c r="J4">
        <f t="shared" si="0"/>
        <v>1.8621724995547899</v>
      </c>
    </row>
    <row r="5" spans="2:11" x14ac:dyDescent="0.25">
      <c r="B5">
        <v>2</v>
      </c>
      <c r="C5">
        <v>0.79900000000000004</v>
      </c>
      <c r="D5">
        <v>0.89700000000000002</v>
      </c>
      <c r="E5">
        <v>0.83799999999999997</v>
      </c>
      <c r="F5">
        <v>0.74</v>
      </c>
      <c r="G5">
        <v>1117.49156012305</v>
      </c>
      <c r="H5">
        <v>841.90355929797704</v>
      </c>
      <c r="I5">
        <f t="shared" si="0"/>
        <v>1.11749156012305</v>
      </c>
      <c r="J5">
        <f t="shared" si="0"/>
        <v>0.841903559297977</v>
      </c>
    </row>
    <row r="6" spans="2:11" x14ac:dyDescent="0.25">
      <c r="B6">
        <v>3</v>
      </c>
      <c r="C6">
        <v>0.73</v>
      </c>
      <c r="D6">
        <v>0.98599999999999999</v>
      </c>
      <c r="E6">
        <v>0.77900000000000003</v>
      </c>
      <c r="F6">
        <v>0.73</v>
      </c>
      <c r="G6">
        <v>1058.1071115053501</v>
      </c>
      <c r="H6">
        <v>985.84773458992504</v>
      </c>
      <c r="I6">
        <f t="shared" si="0"/>
        <v>1.05810711150535</v>
      </c>
      <c r="J6">
        <f t="shared" si="0"/>
        <v>0.98584773458992503</v>
      </c>
    </row>
    <row r="7" spans="2:11" x14ac:dyDescent="0.25">
      <c r="B7">
        <v>4</v>
      </c>
      <c r="C7">
        <v>0.71</v>
      </c>
      <c r="D7">
        <v>1.016</v>
      </c>
      <c r="E7">
        <v>0.85799999999999998</v>
      </c>
      <c r="F7">
        <v>0.75900000000000001</v>
      </c>
      <c r="G7">
        <v>1050.2954630261399</v>
      </c>
      <c r="H7">
        <v>1037.0480076107301</v>
      </c>
      <c r="I7">
        <f t="shared" si="0"/>
        <v>1.0502954630261399</v>
      </c>
      <c r="J7">
        <f t="shared" si="0"/>
        <v>1.03704800761073</v>
      </c>
    </row>
    <row r="8" spans="2:11" x14ac:dyDescent="0.25">
      <c r="B8">
        <v>5</v>
      </c>
      <c r="C8">
        <v>0.69</v>
      </c>
      <c r="D8">
        <v>1.1439999999999999</v>
      </c>
      <c r="E8">
        <v>0.92700000000000005</v>
      </c>
      <c r="F8">
        <v>0.92700000000000005</v>
      </c>
      <c r="G8">
        <v>1049.2301799965801</v>
      </c>
      <c r="H8">
        <v>1042.8002343284099</v>
      </c>
      <c r="I8">
        <f t="shared" si="0"/>
        <v>1.0492301799965802</v>
      </c>
      <c r="J8">
        <f t="shared" si="0"/>
        <v>1.04280023432841</v>
      </c>
    </row>
    <row r="9" spans="2:11" x14ac:dyDescent="0.25">
      <c r="B9" t="s">
        <v>46</v>
      </c>
      <c r="C9">
        <f t="shared" ref="C9:J9" si="1">SUM(C4:C8)</f>
        <v>4.8819999999999997</v>
      </c>
      <c r="D9">
        <f t="shared" si="1"/>
        <v>5.7789999999999999</v>
      </c>
      <c r="E9">
        <f t="shared" si="1"/>
        <v>5.4339999999999993</v>
      </c>
      <c r="F9">
        <f t="shared" si="1"/>
        <v>5.01</v>
      </c>
      <c r="G9">
        <f t="shared" si="1"/>
        <v>6137.4420848037698</v>
      </c>
      <c r="H9">
        <f t="shared" si="1"/>
        <v>5769.7720353818313</v>
      </c>
      <c r="I9">
        <f t="shared" si="1"/>
        <v>6.1374420848037703</v>
      </c>
      <c r="J9">
        <f t="shared" si="1"/>
        <v>5.7697720353818314</v>
      </c>
    </row>
    <row r="15" spans="2:11" x14ac:dyDescent="0.25">
      <c r="I15">
        <f>(J9-I9)*100/I9</f>
        <v>-5.9906072324867283</v>
      </c>
    </row>
  </sheetData>
  <mergeCells count="4">
    <mergeCell ref="C2:D2"/>
    <mergeCell ref="E2:F2"/>
    <mergeCell ref="I2:J2"/>
    <mergeCell ref="G2:H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A2:T47"/>
  <sheetViews>
    <sheetView tabSelected="1" topLeftCell="AA19" workbookViewId="0">
      <selection activeCell="AZ39" sqref="AZ39"/>
    </sheetView>
  </sheetViews>
  <sheetFormatPr defaultRowHeight="14.15" x14ac:dyDescent="0.25"/>
  <sheetData>
    <row r="2" spans="1:20" x14ac:dyDescent="0.25">
      <c r="B2" s="11" t="s">
        <v>50</v>
      </c>
      <c r="C2" s="11"/>
      <c r="D2" s="11"/>
      <c r="E2" s="11"/>
      <c r="F2" s="11"/>
      <c r="G2" s="11"/>
      <c r="H2" s="11"/>
      <c r="I2" s="11"/>
      <c r="J2" s="11"/>
      <c r="L2" s="11" t="s">
        <v>52</v>
      </c>
      <c r="M2" s="11"/>
      <c r="N2" s="11"/>
      <c r="O2" s="11"/>
      <c r="P2" s="11"/>
      <c r="Q2" s="11"/>
      <c r="R2" s="11"/>
      <c r="S2" s="11"/>
      <c r="T2" s="11"/>
    </row>
    <row r="3" spans="1:20" x14ac:dyDescent="0.25">
      <c r="B3" s="11" t="s">
        <v>53</v>
      </c>
      <c r="C3" s="11"/>
      <c r="D3" s="11"/>
      <c r="E3" s="11"/>
      <c r="F3" s="11"/>
      <c r="G3" s="11"/>
      <c r="H3" s="11"/>
      <c r="I3" s="11"/>
      <c r="J3" s="11"/>
      <c r="L3" s="11" t="s">
        <v>53</v>
      </c>
      <c r="M3" s="11"/>
      <c r="N3" s="11"/>
      <c r="O3" s="11"/>
      <c r="P3" s="11"/>
      <c r="Q3" s="11"/>
      <c r="R3" s="11"/>
      <c r="S3" s="11"/>
      <c r="T3" s="11"/>
    </row>
    <row r="4" spans="1:20" x14ac:dyDescent="0.25">
      <c r="B4" s="11" t="s">
        <v>54</v>
      </c>
      <c r="C4" s="11"/>
      <c r="D4" s="11"/>
      <c r="E4" s="11" t="s">
        <v>55</v>
      </c>
      <c r="F4" s="11"/>
      <c r="G4" s="11"/>
      <c r="H4" s="11" t="s">
        <v>56</v>
      </c>
      <c r="I4" s="11"/>
      <c r="J4" s="11"/>
      <c r="L4" s="11" t="s">
        <v>54</v>
      </c>
      <c r="M4" s="11"/>
      <c r="N4" s="11"/>
      <c r="O4" s="11" t="s">
        <v>55</v>
      </c>
      <c r="P4" s="11"/>
      <c r="Q4" s="11"/>
      <c r="R4" s="11" t="s">
        <v>56</v>
      </c>
      <c r="S4" s="11"/>
      <c r="T4" s="11"/>
    </row>
    <row r="5" spans="1:20" x14ac:dyDescent="0.25">
      <c r="B5" t="s">
        <v>49</v>
      </c>
      <c r="C5" t="s">
        <v>51</v>
      </c>
      <c r="D5" t="s">
        <v>7</v>
      </c>
      <c r="E5" t="s">
        <v>49</v>
      </c>
      <c r="F5" t="s">
        <v>51</v>
      </c>
      <c r="G5" t="s">
        <v>7</v>
      </c>
      <c r="H5" t="s">
        <v>49</v>
      </c>
      <c r="I5" t="s">
        <v>51</v>
      </c>
      <c r="J5" t="s">
        <v>7</v>
      </c>
      <c r="L5" t="s">
        <v>49</v>
      </c>
      <c r="M5" t="s">
        <v>51</v>
      </c>
      <c r="N5" t="s">
        <v>7</v>
      </c>
      <c r="O5" t="s">
        <v>49</v>
      </c>
      <c r="P5" t="s">
        <v>51</v>
      </c>
      <c r="Q5" t="s">
        <v>7</v>
      </c>
      <c r="R5" t="s">
        <v>49</v>
      </c>
      <c r="S5" t="s">
        <v>51</v>
      </c>
      <c r="T5" t="s">
        <v>7</v>
      </c>
    </row>
    <row r="6" spans="1:20" x14ac:dyDescent="0.25">
      <c r="A6">
        <v>3</v>
      </c>
      <c r="B6">
        <v>31.549230838137198</v>
      </c>
      <c r="C6">
        <v>806.32080984560002</v>
      </c>
      <c r="D6">
        <v>1.11214988346286</v>
      </c>
      <c r="E6">
        <v>29.6841375041882</v>
      </c>
      <c r="F6">
        <v>809.900346774068</v>
      </c>
      <c r="G6">
        <v>1.1147613885112899</v>
      </c>
      <c r="H6">
        <v>27.456952567005899</v>
      </c>
      <c r="I6">
        <v>814.49477384530405</v>
      </c>
      <c r="J6">
        <v>1.11794826225293</v>
      </c>
      <c r="L6">
        <v>30.4700429854893</v>
      </c>
      <c r="M6">
        <v>825.30161285013503</v>
      </c>
      <c r="N6">
        <v>1.11414821113035</v>
      </c>
      <c r="O6">
        <v>28.184673424029299</v>
      </c>
      <c r="P6">
        <v>825.87462210368301</v>
      </c>
      <c r="Q6">
        <v>1.11812394184467</v>
      </c>
      <c r="R6">
        <v>25.899303862569202</v>
      </c>
      <c r="S6">
        <v>826.44763135723099</v>
      </c>
      <c r="T6">
        <v>1.12209967255899</v>
      </c>
    </row>
    <row r="7" spans="1:20" x14ac:dyDescent="0.25">
      <c r="A7">
        <v>4</v>
      </c>
      <c r="B7">
        <v>173.72130825924299</v>
      </c>
      <c r="C7">
        <v>713.78891176323805</v>
      </c>
      <c r="D7">
        <v>0.98628736937109496</v>
      </c>
      <c r="E7">
        <v>174.12721074507499</v>
      </c>
      <c r="F7">
        <v>722.40082366718605</v>
      </c>
      <c r="G7">
        <v>0.98871722899712</v>
      </c>
      <c r="H7">
        <v>174.55997337772601</v>
      </c>
      <c r="I7">
        <v>735.64425630622998</v>
      </c>
      <c r="J7">
        <v>0.99209620604398996</v>
      </c>
      <c r="L7">
        <v>175.01006813125599</v>
      </c>
      <c r="M7">
        <v>703.16797265105799</v>
      </c>
      <c r="N7">
        <v>0.99102631401959096</v>
      </c>
      <c r="O7">
        <v>175.44597144302199</v>
      </c>
      <c r="P7">
        <v>715.80644742528204</v>
      </c>
      <c r="Q7">
        <v>0.99443960027638301</v>
      </c>
      <c r="R7">
        <v>175.88187475478799</v>
      </c>
      <c r="S7">
        <v>728.44492219950598</v>
      </c>
      <c r="T7">
        <v>0.99785288653317505</v>
      </c>
    </row>
    <row r="8" spans="1:20" x14ac:dyDescent="0.25">
      <c r="A8">
        <v>5</v>
      </c>
      <c r="B8">
        <v>405.54201380256598</v>
      </c>
      <c r="C8">
        <v>647.00487592793797</v>
      </c>
      <c r="D8">
        <v>0.90690408902167896</v>
      </c>
      <c r="E8">
        <v>405.71279761903497</v>
      </c>
      <c r="F8">
        <v>662.99721680191999</v>
      </c>
      <c r="G8">
        <v>0.90915697430276399</v>
      </c>
      <c r="H8">
        <v>406.77076010473598</v>
      </c>
      <c r="I8">
        <v>685.87303832720704</v>
      </c>
      <c r="J8">
        <v>0.91220101238397699</v>
      </c>
      <c r="L8">
        <v>412.92151668878398</v>
      </c>
      <c r="M8">
        <v>638.87221443493604</v>
      </c>
      <c r="N8">
        <v>0.90236688751309901</v>
      </c>
      <c r="O8">
        <v>416.04651777056898</v>
      </c>
      <c r="P8">
        <v>668.247283183219</v>
      </c>
      <c r="Q8">
        <v>0.90527766816105604</v>
      </c>
      <c r="R8">
        <v>419.17151885235501</v>
      </c>
      <c r="S8">
        <v>697.62235193150195</v>
      </c>
      <c r="T8">
        <v>0.90818844880901195</v>
      </c>
    </row>
    <row r="9" spans="1:20" x14ac:dyDescent="0.25">
      <c r="A9">
        <v>6</v>
      </c>
      <c r="B9">
        <v>755.31078566090002</v>
      </c>
      <c r="C9">
        <v>615.46351442301705</v>
      </c>
      <c r="D9">
        <v>0.85005716732232095</v>
      </c>
      <c r="E9">
        <v>755.37289867353297</v>
      </c>
      <c r="F9">
        <v>648.31919592636996</v>
      </c>
      <c r="G9">
        <v>0.85164889970038804</v>
      </c>
      <c r="H9">
        <v>756.90409432052797</v>
      </c>
      <c r="I9">
        <v>694.03648110821098</v>
      </c>
      <c r="J9">
        <v>0.85382927738603498</v>
      </c>
      <c r="L9">
        <v>762.29314700191605</v>
      </c>
      <c r="M9">
        <v>623.94503334092303</v>
      </c>
      <c r="N9">
        <v>0.84196411012810801</v>
      </c>
      <c r="O9">
        <v>768.07507075051296</v>
      </c>
      <c r="P9">
        <v>674.72782451664705</v>
      </c>
      <c r="Q9">
        <v>0.84443232401592205</v>
      </c>
      <c r="R9">
        <v>773.85699449911101</v>
      </c>
      <c r="S9">
        <v>725.51061569237095</v>
      </c>
      <c r="T9">
        <v>0.84690053790373598</v>
      </c>
    </row>
    <row r="10" spans="1:20" x14ac:dyDescent="0.25">
      <c r="A10">
        <v>7</v>
      </c>
      <c r="B10">
        <v>1235.8171950999599</v>
      </c>
      <c r="C10">
        <v>621.59906170346505</v>
      </c>
      <c r="D10">
        <v>0.80428510505420003</v>
      </c>
      <c r="E10">
        <v>1235.9221663148801</v>
      </c>
      <c r="F10">
        <v>676.32301881902799</v>
      </c>
      <c r="G10">
        <v>0.80552884595118901</v>
      </c>
      <c r="H10">
        <v>1238.4127708779899</v>
      </c>
      <c r="I10">
        <v>751.39497794093802</v>
      </c>
      <c r="J10">
        <v>0.80738682545164897</v>
      </c>
      <c r="L10">
        <v>1241.2137174145</v>
      </c>
      <c r="M10">
        <v>649.91712450817101</v>
      </c>
      <c r="N10">
        <v>0.80361216038184902</v>
      </c>
      <c r="O10">
        <v>1249.6203887267</v>
      </c>
      <c r="P10">
        <v>726.77876656471904</v>
      </c>
      <c r="Q10">
        <v>0.80569774635821401</v>
      </c>
      <c r="R10">
        <v>1258.0270600388999</v>
      </c>
      <c r="S10">
        <v>803.64040862126797</v>
      </c>
      <c r="T10">
        <v>0.807783332334579</v>
      </c>
    </row>
    <row r="11" spans="1:20" x14ac:dyDescent="0.25">
      <c r="A11">
        <v>7.84</v>
      </c>
      <c r="B11">
        <v>1750.04165670871</v>
      </c>
      <c r="C11">
        <v>661.185863141087</v>
      </c>
      <c r="D11">
        <v>0.77163020643470903</v>
      </c>
      <c r="E11">
        <v>1751.1557182854001</v>
      </c>
      <c r="F11">
        <v>736.97729795104203</v>
      </c>
      <c r="G11">
        <v>0.77301684711956598</v>
      </c>
      <c r="H11">
        <v>1754.3931237608299</v>
      </c>
      <c r="I11">
        <v>835.69507398218502</v>
      </c>
      <c r="J11">
        <v>0.77472591656962497</v>
      </c>
      <c r="L11">
        <v>1756.85586365414</v>
      </c>
      <c r="M11">
        <v>697.14463076484503</v>
      </c>
      <c r="N11">
        <v>0.78389732249055699</v>
      </c>
      <c r="O11">
        <v>1767.44245800001</v>
      </c>
      <c r="P11">
        <v>799.522355630059</v>
      </c>
      <c r="Q11">
        <v>0.78570782176357401</v>
      </c>
      <c r="R11">
        <v>1778.02905234588</v>
      </c>
      <c r="S11">
        <v>901.90008049527296</v>
      </c>
      <c r="T11">
        <v>0.78751832103659103</v>
      </c>
    </row>
    <row r="12" spans="1:20" x14ac:dyDescent="0.25">
      <c r="A12">
        <v>8</v>
      </c>
      <c r="B12">
        <v>1859.2387525602401</v>
      </c>
      <c r="C12">
        <v>667.96746455767698</v>
      </c>
      <c r="D12">
        <v>0.77110705568134397</v>
      </c>
      <c r="E12">
        <v>1860.60263994153</v>
      </c>
      <c r="F12">
        <v>748.907035326254</v>
      </c>
      <c r="G12">
        <v>0.77251044582478601</v>
      </c>
      <c r="H12">
        <v>1864.1741173741</v>
      </c>
      <c r="I12">
        <v>853.90239949641602</v>
      </c>
      <c r="J12">
        <v>0.77422469768903701</v>
      </c>
      <c r="L12">
        <v>1867.77198627037</v>
      </c>
      <c r="M12">
        <v>708.31918307583396</v>
      </c>
      <c r="N12">
        <v>0.78110521679155698</v>
      </c>
      <c r="O12">
        <v>1878.77123004297</v>
      </c>
      <c r="P12">
        <v>815.93080446658905</v>
      </c>
      <c r="Q12">
        <v>0.78286811370516596</v>
      </c>
      <c r="R12">
        <v>1889.7704738155701</v>
      </c>
      <c r="S12">
        <v>923.54242585734301</v>
      </c>
      <c r="T12">
        <v>0.78463101061877405</v>
      </c>
    </row>
    <row r="13" spans="1:20" x14ac:dyDescent="0.25">
      <c r="A13">
        <v>9</v>
      </c>
      <c r="B13">
        <v>2641.07892259858</v>
      </c>
      <c r="C13">
        <v>732.67084086136799</v>
      </c>
      <c r="D13">
        <v>0.76931524849970601</v>
      </c>
      <c r="E13">
        <v>2643.13436556222</v>
      </c>
      <c r="F13">
        <v>849.95693926603406</v>
      </c>
      <c r="G13">
        <v>0.77053014342931403</v>
      </c>
      <c r="H13">
        <v>2648.0262839665802</v>
      </c>
      <c r="I13">
        <v>997.90798002692395</v>
      </c>
      <c r="J13">
        <v>0.77207115742542398</v>
      </c>
      <c r="L13">
        <v>2660.0567119133698</v>
      </c>
      <c r="M13">
        <v>790.68190418306494</v>
      </c>
      <c r="N13">
        <v>0.76823745787446496</v>
      </c>
      <c r="O13">
        <v>2673.61635304316</v>
      </c>
      <c r="P13">
        <v>933.714633361408</v>
      </c>
      <c r="Q13">
        <v>0.76973760457400997</v>
      </c>
      <c r="R13">
        <v>2687.1759941729601</v>
      </c>
      <c r="S13">
        <v>1076.7473625397499</v>
      </c>
      <c r="T13">
        <v>0.77123775127355498</v>
      </c>
    </row>
    <row r="14" spans="1:20" x14ac:dyDescent="0.25">
      <c r="A14">
        <v>10</v>
      </c>
      <c r="B14">
        <v>3611.1735846562801</v>
      </c>
      <c r="C14">
        <v>817.63342498636905</v>
      </c>
      <c r="D14">
        <v>0.766604656462478</v>
      </c>
      <c r="E14">
        <v>3614.6231210092901</v>
      </c>
      <c r="F14">
        <v>975.27508708992195</v>
      </c>
      <c r="G14">
        <v>0.76783174998961701</v>
      </c>
      <c r="H14">
        <v>3621.7065962694201</v>
      </c>
      <c r="I14">
        <v>1169.54642498984</v>
      </c>
      <c r="J14">
        <v>0.76939282070950299</v>
      </c>
      <c r="L14">
        <v>3636.1566526873498</v>
      </c>
      <c r="M14">
        <v>888.535982969016</v>
      </c>
      <c r="N14">
        <v>0.75880306214780502</v>
      </c>
      <c r="O14">
        <v>3652.24451607113</v>
      </c>
      <c r="P14">
        <v>1071.6609483883301</v>
      </c>
      <c r="Q14">
        <v>0.760100397481979</v>
      </c>
      <c r="R14">
        <v>3668.3323794549101</v>
      </c>
      <c r="S14">
        <v>1254.7859138076501</v>
      </c>
      <c r="T14">
        <v>0.76139773281615397</v>
      </c>
    </row>
    <row r="15" spans="1:20" x14ac:dyDescent="0.25">
      <c r="A15">
        <v>10.45</v>
      </c>
      <c r="B15">
        <v>4113.2890603276601</v>
      </c>
      <c r="C15" s="8">
        <v>857.06025420355002</v>
      </c>
      <c r="D15" s="8">
        <v>0.76496343205495698</v>
      </c>
      <c r="E15" s="8">
        <v>4117.3215569040303</v>
      </c>
      <c r="F15">
        <v>1034.81622747095</v>
      </c>
      <c r="G15" s="8">
        <v>0.76615674654020705</v>
      </c>
      <c r="H15" s="8">
        <v>4125.3859523928204</v>
      </c>
      <c r="I15" s="8">
        <v>1251.0682890980599</v>
      </c>
      <c r="J15">
        <v>0.76769404192719104</v>
      </c>
      <c r="L15">
        <v>4140.1908635233603</v>
      </c>
      <c r="M15" s="8">
        <v>935.36783345151503</v>
      </c>
      <c r="N15" s="8">
        <v>0.75402425525037198</v>
      </c>
      <c r="O15" s="8">
        <v>4157.4059297940103</v>
      </c>
      <c r="P15">
        <v>1138.0582608371799</v>
      </c>
      <c r="Q15" s="8">
        <v>0.75524988051951603</v>
      </c>
      <c r="R15" s="8">
        <v>4174.6209960646602</v>
      </c>
      <c r="S15" s="8">
        <v>1340.74868822285</v>
      </c>
      <c r="T15">
        <v>0.75647550578865996</v>
      </c>
    </row>
    <row r="16" spans="1:20" x14ac:dyDescent="0.25">
      <c r="A16">
        <v>11</v>
      </c>
      <c r="B16">
        <v>4796.5967048233697</v>
      </c>
      <c r="C16">
        <v>914.32835531820604</v>
      </c>
      <c r="D16">
        <v>0.74529051138044</v>
      </c>
      <c r="E16">
        <v>4799.0526816380398</v>
      </c>
      <c r="F16">
        <v>1105.4237106038699</v>
      </c>
      <c r="G16">
        <v>0.74621294417142203</v>
      </c>
      <c r="H16">
        <v>4805.7575783073298</v>
      </c>
      <c r="I16">
        <v>1337.00057727382</v>
      </c>
      <c r="J16">
        <v>0.747403193906373</v>
      </c>
      <c r="L16">
        <v>4814.1605669361597</v>
      </c>
      <c r="M16">
        <v>993.41211457284203</v>
      </c>
      <c r="N16">
        <v>0.74659620812881</v>
      </c>
      <c r="O16">
        <v>4832.7444774707101</v>
      </c>
      <c r="P16">
        <v>1221.30044468651</v>
      </c>
      <c r="Q16">
        <v>0.74775067094630698</v>
      </c>
      <c r="R16">
        <v>4851.3283880052704</v>
      </c>
      <c r="S16">
        <v>1449.18877480018</v>
      </c>
      <c r="T16">
        <v>0.74890513376380397</v>
      </c>
    </row>
    <row r="17" spans="1:20" x14ac:dyDescent="0.25">
      <c r="A17">
        <v>11.4</v>
      </c>
      <c r="B17">
        <v>5327.3936239043396</v>
      </c>
      <c r="C17">
        <v>947.49488845555595</v>
      </c>
      <c r="D17">
        <v>0.73115127500628097</v>
      </c>
      <c r="E17">
        <v>5327.0492054420401</v>
      </c>
      <c r="F17">
        <v>1139.92647409604</v>
      </c>
      <c r="G17">
        <v>0.73177218162651403</v>
      </c>
      <c r="H17">
        <v>5331.3860785175302</v>
      </c>
      <c r="I17">
        <v>1374.78349988171</v>
      </c>
      <c r="J17">
        <v>0.73262692098478899</v>
      </c>
      <c r="L17">
        <v>5345.9471270776503</v>
      </c>
      <c r="M17">
        <v>1035.4316177145499</v>
      </c>
      <c r="N17">
        <v>0.73954707418721999</v>
      </c>
      <c r="O17">
        <v>5365.5204474436196</v>
      </c>
      <c r="P17">
        <v>1282.5332096729001</v>
      </c>
      <c r="Q17">
        <v>0.74066117087567995</v>
      </c>
      <c r="R17">
        <v>5385.0937678095897</v>
      </c>
      <c r="S17">
        <v>1529.63480163126</v>
      </c>
      <c r="T17">
        <v>0.74177526756413903</v>
      </c>
    </row>
    <row r="18" spans="1:20" x14ac:dyDescent="0.25">
      <c r="B18" s="11" t="s">
        <v>58</v>
      </c>
      <c r="C18" s="11"/>
      <c r="D18" s="11"/>
      <c r="E18" s="11"/>
      <c r="F18" s="11"/>
      <c r="G18" s="11"/>
      <c r="H18" s="11"/>
      <c r="I18" s="11"/>
      <c r="J18" s="11"/>
      <c r="L18" s="11" t="s">
        <v>58</v>
      </c>
      <c r="M18" s="11"/>
      <c r="N18" s="11"/>
      <c r="O18" s="11"/>
      <c r="P18" s="11"/>
      <c r="Q18" s="11"/>
      <c r="R18" s="11"/>
      <c r="S18" s="11"/>
      <c r="T18" s="11"/>
    </row>
    <row r="19" spans="1:20" x14ac:dyDescent="0.25">
      <c r="B19" s="11" t="s">
        <v>54</v>
      </c>
      <c r="C19" s="11"/>
      <c r="D19" s="11"/>
      <c r="E19" s="11" t="s">
        <v>55</v>
      </c>
      <c r="F19" s="11"/>
      <c r="G19" s="11"/>
      <c r="H19" s="11" t="s">
        <v>56</v>
      </c>
      <c r="I19" s="11"/>
      <c r="J19" s="11"/>
      <c r="L19" s="11" t="s">
        <v>54</v>
      </c>
      <c r="M19" s="11"/>
      <c r="N19" s="11"/>
      <c r="O19" s="11" t="s">
        <v>55</v>
      </c>
      <c r="P19" s="11"/>
      <c r="Q19" s="11"/>
      <c r="R19" s="11" t="s">
        <v>56</v>
      </c>
      <c r="S19" s="11"/>
      <c r="T19" s="11"/>
    </row>
    <row r="20" spans="1:20" x14ac:dyDescent="0.25">
      <c r="B20" t="s">
        <v>49</v>
      </c>
      <c r="C20" t="s">
        <v>51</v>
      </c>
      <c r="D20" t="s">
        <v>7</v>
      </c>
      <c r="E20" t="s">
        <v>49</v>
      </c>
      <c r="F20" t="s">
        <v>51</v>
      </c>
      <c r="G20" t="s">
        <v>7</v>
      </c>
      <c r="H20" t="s">
        <v>49</v>
      </c>
      <c r="I20" t="s">
        <v>51</v>
      </c>
      <c r="J20" t="s">
        <v>7</v>
      </c>
      <c r="L20" t="s">
        <v>49</v>
      </c>
      <c r="M20" t="s">
        <v>51</v>
      </c>
      <c r="N20" t="s">
        <v>7</v>
      </c>
      <c r="O20" t="s">
        <v>49</v>
      </c>
      <c r="P20" t="s">
        <v>51</v>
      </c>
      <c r="Q20" t="s">
        <v>7</v>
      </c>
      <c r="R20" t="s">
        <v>49</v>
      </c>
      <c r="S20" t="s">
        <v>51</v>
      </c>
      <c r="T20" t="s">
        <v>7</v>
      </c>
    </row>
    <row r="21" spans="1:20" x14ac:dyDescent="0.25">
      <c r="A21">
        <v>3</v>
      </c>
      <c r="B21" t="s">
        <v>57</v>
      </c>
      <c r="C21" t="s">
        <v>57</v>
      </c>
      <c r="D21" t="s">
        <v>57</v>
      </c>
      <c r="E21" t="s">
        <v>57</v>
      </c>
      <c r="F21" t="s">
        <v>57</v>
      </c>
      <c r="G21" t="s">
        <v>57</v>
      </c>
      <c r="H21">
        <v>30.575836026491402</v>
      </c>
      <c r="I21">
        <v>880.43686870834495</v>
      </c>
      <c r="J21">
        <v>0.71090680388438499</v>
      </c>
      <c r="L21">
        <v>35.891378479597897</v>
      </c>
      <c r="M21">
        <v>899.69131714531295</v>
      </c>
      <c r="N21">
        <v>0.72129703439545501</v>
      </c>
      <c r="O21">
        <v>34.513689985061099</v>
      </c>
      <c r="P21">
        <v>896.89993316349205</v>
      </c>
      <c r="Q21">
        <v>0.72048718148788304</v>
      </c>
      <c r="R21">
        <v>33.136001490524201</v>
      </c>
      <c r="S21">
        <v>894.10854918167104</v>
      </c>
      <c r="T21">
        <v>0.71967732858031097</v>
      </c>
    </row>
    <row r="22" spans="1:20" x14ac:dyDescent="0.25">
      <c r="A22">
        <v>4</v>
      </c>
      <c r="B22">
        <v>176.77150453280001</v>
      </c>
      <c r="C22">
        <v>787.13501612997004</v>
      </c>
      <c r="D22">
        <v>0.71388573414198297</v>
      </c>
      <c r="E22">
        <v>176.90318547075699</v>
      </c>
      <c r="F22">
        <v>792.00921985616503</v>
      </c>
      <c r="G22">
        <v>0.71926454192070099</v>
      </c>
      <c r="H22">
        <v>175.77338574460501</v>
      </c>
      <c r="I22">
        <v>800.63530703482502</v>
      </c>
      <c r="J22">
        <v>0.71684324246126896</v>
      </c>
      <c r="L22">
        <v>177.80563192530701</v>
      </c>
      <c r="M22">
        <v>780.148474098169</v>
      </c>
      <c r="N22">
        <v>0.70840355356234097</v>
      </c>
      <c r="O22">
        <v>177.72325560438401</v>
      </c>
      <c r="P22">
        <v>785.25018372940201</v>
      </c>
      <c r="Q22">
        <v>0.708333932537075</v>
      </c>
      <c r="R22">
        <v>177.640879283461</v>
      </c>
      <c r="S22">
        <v>790.35189336063604</v>
      </c>
      <c r="T22">
        <v>0.70826431151180902</v>
      </c>
    </row>
    <row r="23" spans="1:20" x14ac:dyDescent="0.25">
      <c r="A23">
        <v>5</v>
      </c>
      <c r="B23">
        <v>400.71685132553699</v>
      </c>
      <c r="C23">
        <v>713.05160163162304</v>
      </c>
      <c r="D23">
        <v>0.69780914058288501</v>
      </c>
      <c r="E23">
        <v>400.84738672058899</v>
      </c>
      <c r="F23">
        <v>724.35982241554996</v>
      </c>
      <c r="G23">
        <v>0.69942980131704902</v>
      </c>
      <c r="H23">
        <v>402.882043689672</v>
      </c>
      <c r="I23">
        <v>740.31911065018301</v>
      </c>
      <c r="J23">
        <v>0.70282487076144096</v>
      </c>
      <c r="L23">
        <v>402.14431192913798</v>
      </c>
      <c r="M23">
        <v>705.74621663434698</v>
      </c>
      <c r="N23">
        <v>0.69179921623726404</v>
      </c>
      <c r="O23">
        <v>403.81123535391202</v>
      </c>
      <c r="P23">
        <v>724.13115926147304</v>
      </c>
      <c r="Q23">
        <v>0.69229806243879299</v>
      </c>
      <c r="R23">
        <v>405.47815877868601</v>
      </c>
      <c r="S23">
        <v>742.51610188859695</v>
      </c>
      <c r="T23">
        <v>0.69279690864032195</v>
      </c>
    </row>
    <row r="24" spans="1:20" x14ac:dyDescent="0.25">
      <c r="A24">
        <v>6</v>
      </c>
      <c r="B24">
        <v>725.70236055302996</v>
      </c>
      <c r="C24">
        <v>665.65585870928396</v>
      </c>
      <c r="D24">
        <v>0.67500190493092405</v>
      </c>
      <c r="E24">
        <v>722.25924300261602</v>
      </c>
      <c r="F24">
        <v>689.48084504961105</v>
      </c>
      <c r="G24">
        <v>0.67348483730369002</v>
      </c>
      <c r="H24">
        <v>726.39457895893702</v>
      </c>
      <c r="I24">
        <v>722.58173532614796</v>
      </c>
      <c r="J24">
        <v>0.67673963366346601</v>
      </c>
      <c r="L24">
        <v>725.98379631410296</v>
      </c>
      <c r="M24">
        <v>671.94936825949605</v>
      </c>
      <c r="N24">
        <v>0.67325227011894195</v>
      </c>
      <c r="O24">
        <v>729.85400705665802</v>
      </c>
      <c r="P24">
        <v>709.00768326535001</v>
      </c>
      <c r="Q24">
        <v>0.67414781889175501</v>
      </c>
      <c r="R24">
        <v>733.72421779921206</v>
      </c>
      <c r="S24">
        <v>746.06599827120397</v>
      </c>
      <c r="T24">
        <v>0.67504336766456696</v>
      </c>
    </row>
    <row r="25" spans="1:20" x14ac:dyDescent="0.25">
      <c r="A25">
        <v>7</v>
      </c>
      <c r="B25">
        <v>1156.3405118195001</v>
      </c>
      <c r="C25">
        <v>650.91264999559303</v>
      </c>
      <c r="D25">
        <v>0.647495567322801</v>
      </c>
      <c r="E25">
        <v>1156.11611266618</v>
      </c>
      <c r="F25">
        <v>692.13162303195895</v>
      </c>
      <c r="G25">
        <v>0.64823941624098103</v>
      </c>
      <c r="H25">
        <v>1158.0382147904299</v>
      </c>
      <c r="I25">
        <v>749.71018949085601</v>
      </c>
      <c r="J25">
        <v>0.64921165895062904</v>
      </c>
      <c r="L25">
        <v>1166.4004629032199</v>
      </c>
      <c r="M25">
        <v>674.22275247926405</v>
      </c>
      <c r="N25">
        <v>0.65453096290609203</v>
      </c>
      <c r="O25">
        <v>1172.9279485356401</v>
      </c>
      <c r="P25">
        <v>735.344579246683</v>
      </c>
      <c r="Q25">
        <v>0.65565144959467603</v>
      </c>
      <c r="R25">
        <v>1179.45543416806</v>
      </c>
      <c r="S25">
        <v>796.46640601410297</v>
      </c>
      <c r="T25">
        <v>0.65677193628326003</v>
      </c>
    </row>
    <row r="26" spans="1:20" x14ac:dyDescent="0.25">
      <c r="A26">
        <v>7.84</v>
      </c>
      <c r="B26">
        <v>1623.35507259818</v>
      </c>
      <c r="C26">
        <v>674.47404086098902</v>
      </c>
      <c r="D26">
        <v>0.63083505288636998</v>
      </c>
      <c r="E26">
        <v>1620.62989323643</v>
      </c>
      <c r="F26">
        <v>733.44392159705706</v>
      </c>
      <c r="G26">
        <v>0.63027431074208795</v>
      </c>
      <c r="H26">
        <v>1621.51606078912</v>
      </c>
      <c r="I26">
        <v>813.91107076054595</v>
      </c>
      <c r="J26">
        <v>0.63044096392610305</v>
      </c>
      <c r="L26">
        <v>1638.93411403871</v>
      </c>
      <c r="M26">
        <v>700.68960841254398</v>
      </c>
      <c r="N26">
        <v>0.63996394031786397</v>
      </c>
      <c r="O26">
        <v>1648.04455217432</v>
      </c>
      <c r="P26">
        <v>786.19028477473603</v>
      </c>
      <c r="Q26">
        <v>0.64114063512991704</v>
      </c>
      <c r="R26">
        <v>1657.1549903099401</v>
      </c>
      <c r="S26">
        <v>871.69096113692694</v>
      </c>
      <c r="T26">
        <v>0.64231732994197099</v>
      </c>
    </row>
    <row r="27" spans="1:20" x14ac:dyDescent="0.25">
      <c r="A27">
        <v>8</v>
      </c>
      <c r="B27">
        <v>1727.25486340316</v>
      </c>
      <c r="C27">
        <v>678.37363433378596</v>
      </c>
      <c r="D27">
        <v>0.63130986790771004</v>
      </c>
      <c r="E27">
        <v>1725.2251219765601</v>
      </c>
      <c r="F27">
        <v>741.91600500359402</v>
      </c>
      <c r="G27">
        <v>0.63118707409957298</v>
      </c>
      <c r="H27">
        <v>1724.43167171561</v>
      </c>
      <c r="I27">
        <v>828.33809582650701</v>
      </c>
      <c r="J27">
        <v>0.63062858235165098</v>
      </c>
      <c r="L27">
        <v>1740.4706895195</v>
      </c>
      <c r="M27">
        <v>708.03119279929604</v>
      </c>
      <c r="N27">
        <v>0.63740354229742902</v>
      </c>
      <c r="O27">
        <v>1750.1094376138601</v>
      </c>
      <c r="P27">
        <v>798.60667071111902</v>
      </c>
      <c r="Q27">
        <v>0.63857720224627401</v>
      </c>
      <c r="R27">
        <v>1759.74818570823</v>
      </c>
      <c r="S27">
        <v>889.18214862294099</v>
      </c>
      <c r="T27">
        <v>0.63975086219511901</v>
      </c>
    </row>
    <row r="28" spans="1:20" x14ac:dyDescent="0.25">
      <c r="A28">
        <v>9</v>
      </c>
      <c r="B28" s="9">
        <v>2453.9794890968201</v>
      </c>
      <c r="C28" s="8">
        <v>724.81675078440298</v>
      </c>
      <c r="D28" s="8">
        <v>0.629531505240984</v>
      </c>
      <c r="E28" s="4">
        <v>2442.4414866573302</v>
      </c>
      <c r="F28">
        <v>821.47290562890305</v>
      </c>
      <c r="G28">
        <v>0.62717954774444595</v>
      </c>
      <c r="H28">
        <v>2458.29578980008</v>
      </c>
      <c r="I28">
        <v>948.66023786387905</v>
      </c>
      <c r="J28">
        <v>0.63051477993698701</v>
      </c>
      <c r="L28" s="9">
        <v>2465.27085398596</v>
      </c>
      <c r="M28" s="8">
        <v>768.83951272524098</v>
      </c>
      <c r="N28" s="8">
        <v>0.623638255991671</v>
      </c>
      <c r="O28" s="4">
        <v>2478.4748521143501</v>
      </c>
      <c r="P28">
        <v>894.25878116430397</v>
      </c>
      <c r="Q28">
        <v>0.62469332454526605</v>
      </c>
      <c r="R28">
        <v>2491.6788502427498</v>
      </c>
      <c r="S28">
        <v>1019.67804960337</v>
      </c>
      <c r="T28">
        <v>0.62574839309885999</v>
      </c>
    </row>
    <row r="29" spans="1:20" x14ac:dyDescent="0.25">
      <c r="A29">
        <v>10</v>
      </c>
      <c r="B29">
        <v>3350.9058597665598</v>
      </c>
      <c r="C29">
        <v>796.53916485596994</v>
      </c>
      <c r="D29">
        <v>0.62644365772376698</v>
      </c>
      <c r="E29">
        <v>3358.6359299785399</v>
      </c>
      <c r="F29">
        <v>930.59549948783297</v>
      </c>
      <c r="G29">
        <v>0.62782606942775798</v>
      </c>
      <c r="H29">
        <v>3359.8816349712802</v>
      </c>
      <c r="I29">
        <v>1102.8604494499</v>
      </c>
      <c r="J29">
        <v>0.62759345367496</v>
      </c>
      <c r="L29">
        <v>3357.8773341256101</v>
      </c>
      <c r="M29">
        <v>852.11253576274805</v>
      </c>
      <c r="N29">
        <v>0.61500335168753495</v>
      </c>
      <c r="O29">
        <v>3375.1005698601198</v>
      </c>
      <c r="P29">
        <v>1017.76573411189</v>
      </c>
      <c r="Q29">
        <v>0.615768064190367</v>
      </c>
      <c r="R29">
        <v>3392.3238055946299</v>
      </c>
      <c r="S29">
        <v>1183.41893246103</v>
      </c>
      <c r="T29">
        <v>0.61653277669319995</v>
      </c>
    </row>
    <row r="30" spans="1:20" x14ac:dyDescent="0.25">
      <c r="A30">
        <v>10.45</v>
      </c>
      <c r="B30">
        <v>3809.9292654087399</v>
      </c>
      <c r="C30">
        <v>830.59058839416105</v>
      </c>
      <c r="D30">
        <v>0.62392599004358196</v>
      </c>
      <c r="E30">
        <v>3807.1947612576901</v>
      </c>
      <c r="F30">
        <v>984.29940123848905</v>
      </c>
      <c r="G30">
        <v>0.62373659465106202</v>
      </c>
      <c r="H30">
        <v>3818.1602089427602</v>
      </c>
      <c r="I30">
        <v>1178.9198817526101</v>
      </c>
      <c r="J30">
        <v>0.62490475482778896</v>
      </c>
      <c r="L30">
        <v>3818.8468480930501</v>
      </c>
      <c r="M30">
        <v>895.70616443255801</v>
      </c>
      <c r="N30">
        <v>0.61326255937492902</v>
      </c>
      <c r="O30">
        <v>3838.0268541957098</v>
      </c>
      <c r="P30">
        <v>1081.2231642148799</v>
      </c>
      <c r="Q30">
        <v>0.61384057343605802</v>
      </c>
      <c r="R30">
        <v>3857.20686029836</v>
      </c>
      <c r="S30">
        <v>1266.7401639972099</v>
      </c>
      <c r="T30">
        <v>0.61441858749718803</v>
      </c>
    </row>
    <row r="31" spans="1:20" x14ac:dyDescent="0.25">
      <c r="A31">
        <v>11</v>
      </c>
      <c r="B31">
        <v>4406.31231829424</v>
      </c>
      <c r="C31">
        <v>881.76980944440504</v>
      </c>
      <c r="D31">
        <v>0.61087953318597898</v>
      </c>
      <c r="E31">
        <v>4411.57901423765</v>
      </c>
      <c r="F31">
        <v>1052.8998073534101</v>
      </c>
      <c r="G31">
        <v>0.61149768182825004</v>
      </c>
      <c r="H31">
        <v>4425.2106991077499</v>
      </c>
      <c r="I31">
        <v>1267.1456274965201</v>
      </c>
      <c r="J31">
        <v>0.61257763782007302</v>
      </c>
      <c r="L31">
        <v>4435.3665077614696</v>
      </c>
      <c r="M31">
        <v>953.31508541746098</v>
      </c>
      <c r="N31">
        <v>0.61326707708373596</v>
      </c>
      <c r="O31">
        <v>4457.0629686741804</v>
      </c>
      <c r="P31">
        <v>1164.5923530595101</v>
      </c>
      <c r="Q31">
        <v>0.61356966888029596</v>
      </c>
      <c r="R31">
        <v>4478.7594295868903</v>
      </c>
      <c r="S31">
        <v>1375.8696207015701</v>
      </c>
      <c r="T31">
        <v>0.61387226067685496</v>
      </c>
    </row>
    <row r="32" spans="1:20" x14ac:dyDescent="0.25">
      <c r="A32">
        <v>11.4</v>
      </c>
      <c r="B32">
        <v>4873.6433672509802</v>
      </c>
      <c r="C32">
        <v>916.42993496428403</v>
      </c>
      <c r="D32">
        <v>0.60181438781371199</v>
      </c>
      <c r="E32">
        <v>4889.9743823408598</v>
      </c>
      <c r="F32">
        <v>1093.1056549990999</v>
      </c>
      <c r="G32">
        <v>0.60356583539545094</v>
      </c>
      <c r="H32">
        <v>4898.30753810653</v>
      </c>
      <c r="I32">
        <v>1314.29024943483</v>
      </c>
      <c r="J32">
        <v>0.60375951511530901</v>
      </c>
      <c r="L32">
        <v>4921.9544400271097</v>
      </c>
      <c r="M32">
        <v>997.80049319743</v>
      </c>
      <c r="N32">
        <v>0.61490027104282396</v>
      </c>
      <c r="O32">
        <v>4945.5673075312798</v>
      </c>
      <c r="P32">
        <v>1228.83662758384</v>
      </c>
      <c r="Q32">
        <v>0.61496992045333099</v>
      </c>
      <c r="R32">
        <v>4969.1801750354498</v>
      </c>
      <c r="S32">
        <v>1459.8727619702599</v>
      </c>
      <c r="T32">
        <v>0.61503956986383801</v>
      </c>
    </row>
    <row r="33" spans="1:20" x14ac:dyDescent="0.25">
      <c r="B33" s="11" t="s">
        <v>59</v>
      </c>
      <c r="C33" s="11"/>
      <c r="D33" s="11"/>
      <c r="E33" s="11"/>
      <c r="F33" s="11"/>
      <c r="G33" s="11"/>
      <c r="H33" s="11"/>
      <c r="I33" s="11"/>
      <c r="J33" s="11"/>
      <c r="L33" s="11" t="s">
        <v>59</v>
      </c>
      <c r="M33" s="11"/>
      <c r="N33" s="11"/>
      <c r="O33" s="11"/>
      <c r="P33" s="11"/>
      <c r="Q33" s="11"/>
      <c r="R33" s="11"/>
      <c r="S33" s="11"/>
      <c r="T33" s="11"/>
    </row>
    <row r="34" spans="1:20" x14ac:dyDescent="0.25">
      <c r="B34" s="11" t="s">
        <v>54</v>
      </c>
      <c r="C34" s="11"/>
      <c r="D34" s="11"/>
      <c r="E34" s="11" t="s">
        <v>55</v>
      </c>
      <c r="F34" s="11"/>
      <c r="G34" s="11"/>
      <c r="H34" s="11" t="s">
        <v>56</v>
      </c>
      <c r="I34" s="11"/>
      <c r="J34" s="11"/>
      <c r="L34" s="11" t="s">
        <v>54</v>
      </c>
      <c r="M34" s="11"/>
      <c r="N34" s="11"/>
      <c r="O34" s="11" t="s">
        <v>55</v>
      </c>
      <c r="P34" s="11"/>
      <c r="Q34" s="11"/>
      <c r="R34" s="11" t="s">
        <v>56</v>
      </c>
      <c r="S34" s="11"/>
      <c r="T34" s="11"/>
    </row>
    <row r="35" spans="1:20" x14ac:dyDescent="0.25">
      <c r="B35" t="s">
        <v>49</v>
      </c>
      <c r="C35" t="s">
        <v>51</v>
      </c>
      <c r="D35" t="s">
        <v>7</v>
      </c>
      <c r="E35" t="s">
        <v>49</v>
      </c>
      <c r="F35" t="s">
        <v>51</v>
      </c>
      <c r="G35" t="s">
        <v>7</v>
      </c>
      <c r="H35" t="s">
        <v>49</v>
      </c>
      <c r="I35" t="s">
        <v>51</v>
      </c>
      <c r="J35" t="s">
        <v>7</v>
      </c>
      <c r="L35" t="s">
        <v>49</v>
      </c>
      <c r="M35" t="s">
        <v>51</v>
      </c>
      <c r="N35" t="s">
        <v>7</v>
      </c>
      <c r="O35" t="s">
        <v>49</v>
      </c>
      <c r="P35" t="s">
        <v>51</v>
      </c>
      <c r="Q35" t="s">
        <v>7</v>
      </c>
      <c r="R35" t="s">
        <v>49</v>
      </c>
      <c r="S35" t="s">
        <v>51</v>
      </c>
      <c r="T35" t="s">
        <v>7</v>
      </c>
    </row>
    <row r="36" spans="1:20" x14ac:dyDescent="0.25">
      <c r="A36">
        <v>3</v>
      </c>
      <c r="B36" t="s">
        <v>57</v>
      </c>
      <c r="C36" t="s">
        <v>57</v>
      </c>
      <c r="D36" t="s">
        <v>57</v>
      </c>
      <c r="E36" t="s">
        <v>57</v>
      </c>
      <c r="F36" t="s">
        <v>57</v>
      </c>
      <c r="G36" t="s">
        <v>57</v>
      </c>
      <c r="H36" t="s">
        <v>57</v>
      </c>
      <c r="I36" t="s">
        <v>57</v>
      </c>
      <c r="J36" t="s">
        <v>57</v>
      </c>
      <c r="L36">
        <v>-476.08648315516501</v>
      </c>
      <c r="M36">
        <v>1405.12342529731</v>
      </c>
      <c r="N36">
        <v>0.43205924345292301</v>
      </c>
      <c r="O36">
        <v>-453.345939279091</v>
      </c>
      <c r="P36">
        <v>1352.8663773933699</v>
      </c>
      <c r="Q36">
        <v>0.436739360800667</v>
      </c>
      <c r="R36">
        <v>-430.60539540301801</v>
      </c>
      <c r="S36">
        <v>1300.6093294894299</v>
      </c>
      <c r="T36">
        <v>0.44141947814841198</v>
      </c>
    </row>
    <row r="37" spans="1:20" x14ac:dyDescent="0.25">
      <c r="A37">
        <v>4</v>
      </c>
      <c r="B37" t="s">
        <v>57</v>
      </c>
      <c r="C37" t="s">
        <v>57</v>
      </c>
      <c r="D37" t="s">
        <v>57</v>
      </c>
      <c r="E37" t="s">
        <v>57</v>
      </c>
      <c r="F37" t="s">
        <v>57</v>
      </c>
      <c r="G37" t="s">
        <v>57</v>
      </c>
      <c r="H37" t="s">
        <v>57</v>
      </c>
      <c r="I37" t="s">
        <v>57</v>
      </c>
      <c r="J37" t="s">
        <v>57</v>
      </c>
      <c r="L37">
        <v>-130.699137866782</v>
      </c>
      <c r="M37">
        <v>1093.27173189626</v>
      </c>
      <c r="N37">
        <v>0.44736278283321201</v>
      </c>
      <c r="O37">
        <v>-116.845891565603</v>
      </c>
      <c r="P37">
        <v>1059.85488860652</v>
      </c>
      <c r="Q37">
        <v>0.450345863430826</v>
      </c>
      <c r="R37">
        <v>-102.992645264423</v>
      </c>
      <c r="S37">
        <v>1026.4380453167701</v>
      </c>
      <c r="T37">
        <v>0.45332894402843998</v>
      </c>
    </row>
    <row r="38" spans="1:20" x14ac:dyDescent="0.25">
      <c r="A38">
        <v>5</v>
      </c>
      <c r="B38" t="s">
        <v>57</v>
      </c>
      <c r="C38" t="s">
        <v>57</v>
      </c>
      <c r="D38" t="s">
        <v>57</v>
      </c>
      <c r="E38" t="s">
        <v>57</v>
      </c>
      <c r="F38" t="s">
        <v>57</v>
      </c>
      <c r="G38" t="s">
        <v>57</v>
      </c>
      <c r="H38" t="s">
        <v>57</v>
      </c>
      <c r="I38" t="s">
        <v>57</v>
      </c>
      <c r="J38" t="s">
        <v>57</v>
      </c>
      <c r="L38">
        <v>198.298723866476</v>
      </c>
      <c r="M38">
        <v>884.21863429833502</v>
      </c>
      <c r="N38">
        <v>0.45844392565599201</v>
      </c>
      <c r="O38">
        <v>205.82896053641201</v>
      </c>
      <c r="P38">
        <v>872.92811526840899</v>
      </c>
      <c r="Q38">
        <v>0.46007065547840698</v>
      </c>
      <c r="R38">
        <v>213.359197206348</v>
      </c>
      <c r="S38">
        <v>861.63759623848296</v>
      </c>
      <c r="T38">
        <v>0.46169738530082299</v>
      </c>
    </row>
    <row r="39" spans="1:20" x14ac:dyDescent="0.25">
      <c r="A39">
        <v>6</v>
      </c>
      <c r="B39">
        <v>546.13959465477706</v>
      </c>
      <c r="C39">
        <v>743.48385399337099</v>
      </c>
      <c r="D39">
        <v>0.46509016631244599</v>
      </c>
      <c r="E39" t="s">
        <v>57</v>
      </c>
      <c r="F39" t="s">
        <v>57</v>
      </c>
      <c r="G39" t="s">
        <v>57</v>
      </c>
      <c r="H39">
        <v>546.49628449100805</v>
      </c>
      <c r="I39">
        <v>780.88879278696004</v>
      </c>
      <c r="J39">
        <v>0.46545597145648399</v>
      </c>
      <c r="L39">
        <v>542.97273045320605</v>
      </c>
      <c r="M39">
        <v>762.53360427435803</v>
      </c>
      <c r="N39">
        <v>0.46580861379627098</v>
      </c>
      <c r="O39">
        <v>546.74424543555006</v>
      </c>
      <c r="P39">
        <v>776.655529149882</v>
      </c>
      <c r="Q39">
        <v>0.466419678818419</v>
      </c>
      <c r="R39">
        <v>550.51576041789303</v>
      </c>
      <c r="S39">
        <v>790.77745402540495</v>
      </c>
      <c r="T39">
        <v>0.46703074384056797</v>
      </c>
    </row>
    <row r="40" spans="1:20" x14ac:dyDescent="0.25">
      <c r="A40">
        <v>7</v>
      </c>
      <c r="B40">
        <v>921.47860638444297</v>
      </c>
      <c r="C40">
        <v>704.03554481809999</v>
      </c>
      <c r="D40">
        <v>0.472401604145124</v>
      </c>
      <c r="E40" t="s">
        <v>57</v>
      </c>
      <c r="F40" t="s">
        <v>57</v>
      </c>
      <c r="G40" t="s">
        <v>57</v>
      </c>
      <c r="H40" t="s">
        <v>57</v>
      </c>
      <c r="I40" t="s">
        <v>57</v>
      </c>
      <c r="J40" t="s">
        <v>57</v>
      </c>
      <c r="L40">
        <v>935.38851030200703</v>
      </c>
      <c r="M40">
        <v>712.78611359517004</v>
      </c>
      <c r="N40">
        <v>0.46996278912905798</v>
      </c>
      <c r="O40">
        <v>937.96559154040801</v>
      </c>
      <c r="P40">
        <v>755.60660202176996</v>
      </c>
      <c r="Q40">
        <v>0.46989887532587099</v>
      </c>
      <c r="R40">
        <v>940.54267277881002</v>
      </c>
      <c r="S40">
        <v>798.42709044836897</v>
      </c>
      <c r="T40">
        <v>0.469834961522684</v>
      </c>
    </row>
    <row r="41" spans="1:20" x14ac:dyDescent="0.25">
      <c r="A41">
        <v>7.84</v>
      </c>
      <c r="B41">
        <v>1305.94008571925</v>
      </c>
      <c r="C41">
        <v>706.25544366644203</v>
      </c>
      <c r="D41">
        <v>0.46858018280511299</v>
      </c>
      <c r="E41">
        <v>1316.5046686276801</v>
      </c>
      <c r="F41">
        <v>751.63305438605198</v>
      </c>
      <c r="G41">
        <v>0.47143001268169599</v>
      </c>
      <c r="H41">
        <v>1325.41095666458</v>
      </c>
      <c r="I41">
        <v>814.71170218323903</v>
      </c>
      <c r="J41">
        <v>0.47381962392822202</v>
      </c>
      <c r="L41">
        <v>1325.3713084456001</v>
      </c>
      <c r="M41">
        <v>715.30282426629799</v>
      </c>
      <c r="N41">
        <v>0.47134135109165498</v>
      </c>
      <c r="O41">
        <v>1328.92674706194</v>
      </c>
      <c r="P41">
        <v>784.76961933794405</v>
      </c>
      <c r="Q41">
        <v>0.47097373719661401</v>
      </c>
      <c r="R41">
        <v>1332.4821856782901</v>
      </c>
      <c r="S41">
        <v>854.23641440958795</v>
      </c>
      <c r="T41">
        <v>0.47060612330157298</v>
      </c>
    </row>
    <row r="42" spans="1:20" x14ac:dyDescent="0.25">
      <c r="A42">
        <v>8</v>
      </c>
      <c r="B42" t="s">
        <v>57</v>
      </c>
      <c r="C42" t="s">
        <v>57</v>
      </c>
      <c r="D42" t="s">
        <v>57</v>
      </c>
      <c r="E42">
        <v>1394.59030262075</v>
      </c>
      <c r="F42">
        <v>756.79497163267695</v>
      </c>
      <c r="G42">
        <v>0.47031322759035699</v>
      </c>
      <c r="H42">
        <v>1404.76674994427</v>
      </c>
      <c r="I42">
        <v>825.79099564766</v>
      </c>
      <c r="J42">
        <v>0.47261625558908898</v>
      </c>
      <c r="L42">
        <v>1407.61169182147</v>
      </c>
      <c r="M42">
        <v>719.545634031605</v>
      </c>
      <c r="N42">
        <v>0.47141239352936098</v>
      </c>
      <c r="O42">
        <v>1411.5586272595799</v>
      </c>
      <c r="P42">
        <v>794.35080565490898</v>
      </c>
      <c r="Q42">
        <v>0.47101418687577101</v>
      </c>
      <c r="R42">
        <v>1415.50556269769</v>
      </c>
      <c r="S42">
        <v>869.15597727821205</v>
      </c>
      <c r="T42">
        <v>0.47061598022217999</v>
      </c>
    </row>
    <row r="43" spans="1:20" x14ac:dyDescent="0.25">
      <c r="A43">
        <v>9</v>
      </c>
      <c r="B43">
        <v>1984.44874260248</v>
      </c>
      <c r="C43">
        <v>732.30210356062196</v>
      </c>
      <c r="D43">
        <v>0.47004054667866502</v>
      </c>
      <c r="E43">
        <v>1978.6652777950301</v>
      </c>
      <c r="F43">
        <v>811.42353497167403</v>
      </c>
      <c r="G43">
        <v>0.46915172691019402</v>
      </c>
      <c r="H43">
        <v>1988.69568061732</v>
      </c>
      <c r="I43">
        <v>917.90277923921099</v>
      </c>
      <c r="J43">
        <v>0.47018648409519898</v>
      </c>
      <c r="L43">
        <v>1991.7079034202</v>
      </c>
      <c r="M43">
        <v>767.381637354497</v>
      </c>
      <c r="N43">
        <v>0.47066336887219001</v>
      </c>
      <c r="O43">
        <v>1999.5889810016699</v>
      </c>
      <c r="P43">
        <v>877.45761182013405</v>
      </c>
      <c r="Q43">
        <v>0.47027155534312798</v>
      </c>
      <c r="R43">
        <v>2007.4700585831399</v>
      </c>
      <c r="S43">
        <v>987.53358628576996</v>
      </c>
      <c r="T43">
        <v>0.469879741814066</v>
      </c>
    </row>
    <row r="44" spans="1:20" x14ac:dyDescent="0.25">
      <c r="A44">
        <v>10</v>
      </c>
      <c r="B44">
        <v>2696.8137133867299</v>
      </c>
      <c r="C44">
        <v>787.74351903907404</v>
      </c>
      <c r="D44">
        <v>0.46615643393463202</v>
      </c>
      <c r="E44">
        <v>2721.6749159330898</v>
      </c>
      <c r="F44">
        <v>903.04981105598495</v>
      </c>
      <c r="G44">
        <v>0.47038796467667399</v>
      </c>
      <c r="H44">
        <v>2708.7842555012699</v>
      </c>
      <c r="I44">
        <v>1053.18130691075</v>
      </c>
      <c r="J44">
        <v>0.46748399310015898</v>
      </c>
      <c r="L44">
        <v>2719.7427735067999</v>
      </c>
      <c r="M44">
        <v>840.86359533468396</v>
      </c>
      <c r="N44">
        <v>0.46822165703255397</v>
      </c>
      <c r="O44">
        <v>2734.12228117528</v>
      </c>
      <c r="P44">
        <v>989.49649228828002</v>
      </c>
      <c r="Q44">
        <v>0.46817692260295102</v>
      </c>
      <c r="R44">
        <v>2748.5017888437601</v>
      </c>
      <c r="S44">
        <v>1138.1293892418801</v>
      </c>
      <c r="T44">
        <v>0.46813218817334901</v>
      </c>
    </row>
    <row r="45" spans="1:20" x14ac:dyDescent="0.25">
      <c r="A45">
        <v>10.45</v>
      </c>
      <c r="B45">
        <v>3079.7749618271901</v>
      </c>
      <c r="C45">
        <v>814.30160935839399</v>
      </c>
      <c r="D45">
        <v>0.46641723926970102</v>
      </c>
      <c r="E45">
        <v>3081.8192937232802</v>
      </c>
      <c r="F45">
        <v>949.97158682540305</v>
      </c>
      <c r="G45">
        <v>0.46709784128484899</v>
      </c>
      <c r="H45">
        <v>3111.8690900737001</v>
      </c>
      <c r="I45">
        <v>1123.4700270989399</v>
      </c>
      <c r="J45">
        <v>0.47059621256220302</v>
      </c>
      <c r="L45">
        <v>3102.8619382465399</v>
      </c>
      <c r="M45">
        <v>878.18619776765104</v>
      </c>
      <c r="N45">
        <v>0.46670544939976</v>
      </c>
      <c r="O45">
        <v>3121.00233839579</v>
      </c>
      <c r="P45">
        <v>1045.24180637521</v>
      </c>
      <c r="Q45">
        <v>0.46692804936423699</v>
      </c>
      <c r="R45">
        <v>3139.1427385450402</v>
      </c>
      <c r="S45">
        <v>1212.2974149827801</v>
      </c>
      <c r="T45">
        <v>0.46715064932871297</v>
      </c>
    </row>
    <row r="46" spans="1:20" x14ac:dyDescent="0.25">
      <c r="A46">
        <v>11</v>
      </c>
      <c r="B46">
        <v>3601.1284326442001</v>
      </c>
      <c r="C46">
        <v>860.21029976089596</v>
      </c>
      <c r="D46">
        <v>0.46393095506693899</v>
      </c>
      <c r="E46">
        <v>3605.19057813577</v>
      </c>
      <c r="F46">
        <v>1011.97419534797</v>
      </c>
      <c r="G46">
        <v>0.46406830223605799</v>
      </c>
      <c r="H46">
        <v>3626.8448761842201</v>
      </c>
      <c r="I46">
        <v>1205.1365134735399</v>
      </c>
      <c r="J46">
        <v>0.46551811113974301</v>
      </c>
      <c r="L46">
        <v>3623.7819304898499</v>
      </c>
      <c r="M46">
        <v>924.56097974299701</v>
      </c>
      <c r="N46">
        <v>0.46459319988546</v>
      </c>
      <c r="O46">
        <v>3647.22415618899</v>
      </c>
      <c r="P46">
        <v>1115.03691883018</v>
      </c>
      <c r="Q46">
        <v>0.46523623053024998</v>
      </c>
      <c r="R46">
        <v>3670.6663818881302</v>
      </c>
      <c r="S46">
        <v>1305.51285791736</v>
      </c>
      <c r="T46">
        <v>0.46587926117503897</v>
      </c>
    </row>
    <row r="47" spans="1:20" x14ac:dyDescent="0.25">
      <c r="A47">
        <v>11.4</v>
      </c>
      <c r="B47">
        <v>4017.71455609961</v>
      </c>
      <c r="C47">
        <v>892.33981179341504</v>
      </c>
      <c r="D47">
        <v>0.46221277610525102</v>
      </c>
      <c r="E47">
        <v>4029.4785040280799</v>
      </c>
      <c r="F47">
        <v>1050.49670632331</v>
      </c>
      <c r="G47">
        <v>0.46298708379387299</v>
      </c>
      <c r="H47">
        <v>4076.3372595504902</v>
      </c>
      <c r="I47">
        <v>1252.39692196595</v>
      </c>
      <c r="J47">
        <v>0.467259213215446</v>
      </c>
      <c r="L47">
        <v>4041.8614943776001</v>
      </c>
      <c r="M47">
        <v>957.44381458286705</v>
      </c>
      <c r="N47">
        <v>0.46292285932053701</v>
      </c>
      <c r="O47">
        <v>4069.6468079132301</v>
      </c>
      <c r="P47">
        <v>1165.5770840242601</v>
      </c>
      <c r="Q47">
        <v>0.46393638806806398</v>
      </c>
      <c r="R47">
        <v>4097.43212144886</v>
      </c>
      <c r="S47">
        <v>1373.7103534656501</v>
      </c>
      <c r="T47">
        <v>0.464949916815591</v>
      </c>
    </row>
  </sheetData>
  <mergeCells count="26">
    <mergeCell ref="L2:T2"/>
    <mergeCell ref="L3:T3"/>
    <mergeCell ref="B33:J33"/>
    <mergeCell ref="B34:D34"/>
    <mergeCell ref="E34:G34"/>
    <mergeCell ref="H34:J34"/>
    <mergeCell ref="B2:J2"/>
    <mergeCell ref="B4:D4"/>
    <mergeCell ref="E4:G4"/>
    <mergeCell ref="H4:J4"/>
    <mergeCell ref="B3:J3"/>
    <mergeCell ref="B18:J18"/>
    <mergeCell ref="B19:D19"/>
    <mergeCell ref="E19:G19"/>
    <mergeCell ref="H19:J19"/>
    <mergeCell ref="L33:T33"/>
    <mergeCell ref="L34:N34"/>
    <mergeCell ref="O34:Q34"/>
    <mergeCell ref="R34:T34"/>
    <mergeCell ref="L4:N4"/>
    <mergeCell ref="O4:Q4"/>
    <mergeCell ref="R4:T4"/>
    <mergeCell ref="L18:T18"/>
    <mergeCell ref="L19:N19"/>
    <mergeCell ref="O19:Q19"/>
    <mergeCell ref="R19:T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randomCalculations</vt:lpstr>
      <vt:lpstr>CpCtVsa</vt:lpstr>
      <vt:lpstr>getGebraad2.6</vt:lpstr>
      <vt:lpstr>vanderHoek</vt:lpstr>
      <vt:lpstr>realData</vt:lpstr>
      <vt:lpstr>benchmark</vt:lpstr>
      <vt:lpstr>verifyPoli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2019-10-27T12:05:19Z</dcterms:modified>
</cp:coreProperties>
</file>